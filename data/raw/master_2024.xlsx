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35" windowHeight="12105" activeTab="1"/>
  </bookViews>
  <sheets>
    <sheet name="퇴사자" sheetId="1" r:id="rId1"/>
    <sheet name="재직자" sheetId="2" r:id="rId2"/>
    <sheet name="Sheet1" sheetId="3" r:id="rId3"/>
  </sheets>
  <externalReferences>
    <externalReference r:id="rId4"/>
    <externalReference r:id="rId5"/>
  </externalReferences>
  <definedNames>
    <definedName name="_xlnm._FilterDatabase" localSheetId="1" hidden="1">재직자!$A$2:$AO$34</definedName>
    <definedName name="_xlnm._FilterDatabase" localSheetId="0" hidden="1">퇴사자!$A$2:$AK$34</definedName>
  </definedNames>
  <calcPr calcId="144525"/>
</workbook>
</file>

<file path=xl/calcChain.xml><?xml version="1.0" encoding="utf-8"?>
<calcChain xmlns="http://schemas.openxmlformats.org/spreadsheetml/2006/main">
  <c r="AE10" i="2" l="1"/>
  <c r="AE9" i="2"/>
  <c r="AE8" i="2"/>
  <c r="AE108" i="2"/>
  <c r="AE105" i="2"/>
  <c r="AE104" i="2"/>
  <c r="AE127" i="2"/>
  <c r="AE7" i="2"/>
  <c r="AE6" i="2"/>
  <c r="AE5" i="2"/>
  <c r="AE4" i="2"/>
  <c r="AE42" i="2"/>
  <c r="AE36" i="2"/>
  <c r="AE40" i="2"/>
  <c r="AE89" i="2"/>
  <c r="AE88" i="2"/>
  <c r="AE21" i="2"/>
  <c r="AE24" i="2"/>
  <c r="AE22" i="2"/>
  <c r="AE126" i="2"/>
  <c r="AE25" i="2"/>
  <c r="AE23" i="2"/>
  <c r="AE20" i="2"/>
  <c r="AE38" i="2"/>
  <c r="AE107" i="2"/>
  <c r="AE87" i="2"/>
  <c r="AE49" i="2"/>
  <c r="AE75" i="2"/>
  <c r="AE26" i="2"/>
  <c r="AE16" i="2"/>
  <c r="AE37" i="2"/>
  <c r="AE103" i="2"/>
  <c r="AE74" i="2"/>
  <c r="AE73" i="2"/>
  <c r="AE50" i="2"/>
  <c r="AE106" i="2"/>
  <c r="AE91" i="2"/>
  <c r="AE72" i="2"/>
  <c r="AE19" i="2"/>
  <c r="AE76" i="2"/>
  <c r="AE35" i="2"/>
  <c r="AE113" i="2"/>
  <c r="AE102" i="2"/>
  <c r="AD125" i="2"/>
  <c r="AE3" i="2"/>
  <c r="AE67" i="2"/>
  <c r="AE86" i="2"/>
  <c r="AE124" i="2"/>
  <c r="AE123" i="2"/>
  <c r="AE122" i="2"/>
  <c r="AE34" i="2"/>
  <c r="AE66" i="2"/>
  <c r="AE41" i="2"/>
  <c r="AE48" i="2"/>
  <c r="AE121" i="2"/>
  <c r="AE65" i="2"/>
  <c r="AE85" i="2"/>
  <c r="AE112" i="2"/>
  <c r="AE64" i="2"/>
  <c r="AE101" i="2"/>
  <c r="AE71" i="2"/>
  <c r="AE29" i="2"/>
  <c r="AE109" i="2"/>
  <c r="AE33" i="2"/>
  <c r="AE120" i="2"/>
  <c r="AE119" i="2"/>
  <c r="AE70" i="2"/>
  <c r="AE63" i="2"/>
  <c r="AE15" i="2"/>
  <c r="AE39" i="2"/>
  <c r="AE100" i="2"/>
  <c r="AE118" i="2"/>
  <c r="AE111" i="2"/>
  <c r="AE14" i="2"/>
  <c r="AE32" i="2"/>
  <c r="AE99" i="2"/>
  <c r="AE28" i="2"/>
  <c r="AE18" i="2"/>
  <c r="AE84" i="2"/>
  <c r="AE12" i="2"/>
  <c r="AE117" i="2"/>
  <c r="AE62" i="2"/>
  <c r="AE27" i="2"/>
  <c r="AE31" i="2"/>
  <c r="AE110" i="2"/>
  <c r="AE13" i="2"/>
  <c r="AE98" i="2"/>
  <c r="AE97" i="2"/>
  <c r="AE17" i="2"/>
  <c r="AE116" i="2"/>
  <c r="AE61" i="2"/>
  <c r="AE69" i="2"/>
  <c r="AE115" i="2"/>
  <c r="AE60" i="2"/>
  <c r="AE59" i="2"/>
  <c r="AE83" i="2"/>
  <c r="AE58" i="2"/>
  <c r="AE82" i="2"/>
  <c r="AE68" i="2"/>
  <c r="AE57" i="2"/>
  <c r="AE114" i="2"/>
  <c r="AE81" i="2"/>
  <c r="AE90" i="2"/>
  <c r="AE128" i="2"/>
  <c r="AE56" i="2"/>
  <c r="AE96" i="2"/>
  <c r="AE30" i="2"/>
  <c r="AE95" i="2"/>
  <c r="AE94" i="2"/>
  <c r="AE55" i="2"/>
  <c r="AE54" i="2"/>
  <c r="AE47" i="2"/>
  <c r="AE80" i="2"/>
  <c r="AE53" i="2"/>
  <c r="AE46" i="2"/>
  <c r="AE52" i="2"/>
  <c r="AE79" i="2"/>
  <c r="AE78" i="2"/>
  <c r="AE93" i="2"/>
  <c r="AE45" i="2"/>
  <c r="AE92" i="2"/>
  <c r="AE43" i="2"/>
  <c r="AE77" i="2"/>
  <c r="AE51" i="2"/>
  <c r="AE44" i="2"/>
  <c r="AL1" i="2"/>
  <c r="AF9" i="2" s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C325" i="1"/>
  <c r="AC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C303" i="1"/>
  <c r="AD303" i="1" s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C279" i="1"/>
  <c r="AD278" i="1"/>
  <c r="AD277" i="1"/>
  <c r="AD276" i="1"/>
  <c r="AC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A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E144" i="1"/>
  <c r="AG144" i="1" s="1"/>
  <c r="AH144" i="1" s="1"/>
  <c r="AD144" i="1"/>
  <c r="AD143" i="1"/>
  <c r="AA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A131" i="1"/>
  <c r="AD130" i="1"/>
  <c r="AD129" i="1"/>
  <c r="AD128" i="1"/>
  <c r="AD127" i="1"/>
  <c r="AB127" i="1"/>
  <c r="AA127" i="1"/>
  <c r="AD126" i="1"/>
  <c r="AA126" i="1"/>
  <c r="AD125" i="1"/>
  <c r="AA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L101" i="1"/>
  <c r="AD101" i="1"/>
  <c r="AB101" i="1"/>
  <c r="AA101" i="1"/>
  <c r="AD100" i="1"/>
  <c r="AD99" i="1"/>
  <c r="AD98" i="1"/>
  <c r="AD97" i="1"/>
  <c r="AL96" i="1"/>
  <c r="AD96" i="1"/>
  <c r="AD95" i="1"/>
  <c r="AD94" i="1"/>
  <c r="AD93" i="1"/>
  <c r="AD92" i="1"/>
  <c r="AD91" i="1"/>
  <c r="AD90" i="1"/>
  <c r="AL89" i="1"/>
  <c r="AD89" i="1"/>
  <c r="AL88" i="1"/>
  <c r="AD88" i="1"/>
  <c r="AD87" i="1"/>
  <c r="AL86" i="1"/>
  <c r="AD86" i="1"/>
  <c r="AD85" i="1"/>
  <c r="AL84" i="1"/>
  <c r="AD84" i="1"/>
  <c r="AL83" i="1"/>
  <c r="AD83" i="1"/>
  <c r="AL82" i="1"/>
  <c r="AD82" i="1"/>
  <c r="AL81" i="1"/>
  <c r="AD81" i="1"/>
  <c r="AD80" i="1"/>
  <c r="AL79" i="1"/>
  <c r="AD79" i="1"/>
  <c r="AD78" i="1"/>
  <c r="AD77" i="1"/>
  <c r="AD76" i="1"/>
  <c r="AD75" i="1"/>
  <c r="AB75" i="1"/>
  <c r="AA75" i="1"/>
  <c r="AD74" i="1"/>
  <c r="AD73" i="1"/>
  <c r="AD72" i="1"/>
  <c r="AD71" i="1"/>
  <c r="AD70" i="1"/>
  <c r="AB70" i="1"/>
  <c r="AA70" i="1"/>
  <c r="AD69" i="1"/>
  <c r="AB69" i="1"/>
  <c r="AA69" i="1"/>
  <c r="AD68" i="1"/>
  <c r="AB68" i="1"/>
  <c r="AA68" i="1"/>
  <c r="AD67" i="1"/>
  <c r="AB67" i="1"/>
  <c r="AA67" i="1"/>
  <c r="AD66" i="1"/>
  <c r="AD65" i="1"/>
  <c r="AD64" i="1"/>
  <c r="AD63" i="1"/>
  <c r="AD62" i="1"/>
  <c r="AD61" i="1"/>
  <c r="AD60" i="1"/>
  <c r="AB60" i="1"/>
  <c r="AA60" i="1"/>
  <c r="AD59" i="1"/>
  <c r="AB59" i="1"/>
  <c r="AA59" i="1"/>
  <c r="AD58" i="1"/>
  <c r="AD57" i="1"/>
  <c r="AD56" i="1"/>
  <c r="AB56" i="1"/>
  <c r="AA56" i="1"/>
  <c r="AD55" i="1"/>
  <c r="AD54" i="1"/>
  <c r="AB54" i="1"/>
  <c r="AA54" i="1"/>
  <c r="AD53" i="1"/>
  <c r="AD52" i="1"/>
  <c r="AE51" i="1"/>
  <c r="AF51" i="1" s="1"/>
  <c r="AD51" i="1"/>
  <c r="AD50" i="1"/>
  <c r="AD49" i="1"/>
  <c r="AB49" i="1"/>
  <c r="AA49" i="1"/>
  <c r="AD48" i="1"/>
  <c r="AB48" i="1"/>
  <c r="AA48" i="1"/>
  <c r="AD47" i="1"/>
  <c r="AD46" i="1"/>
  <c r="AE45" i="1"/>
  <c r="AF45" i="1" s="1"/>
  <c r="AD45" i="1"/>
  <c r="AB45" i="1"/>
  <c r="AA45" i="1"/>
  <c r="AD44" i="1"/>
  <c r="AB44" i="1"/>
  <c r="AA44" i="1"/>
  <c r="AD43" i="1"/>
  <c r="AB43" i="1"/>
  <c r="AA43" i="1"/>
  <c r="AD42" i="1"/>
  <c r="AC39" i="1"/>
  <c r="AB39" i="1"/>
  <c r="AA39" i="1"/>
  <c r="AC38" i="1"/>
  <c r="H38" i="1"/>
  <c r="G38" i="1"/>
  <c r="AC37" i="1"/>
  <c r="AB37" i="1"/>
  <c r="AA37" i="1"/>
  <c r="H37" i="1"/>
  <c r="G37" i="1"/>
  <c r="AC36" i="1"/>
  <c r="AB36" i="1"/>
  <c r="AA36" i="1"/>
  <c r="H36" i="1"/>
  <c r="G36" i="1"/>
  <c r="AC35" i="1"/>
  <c r="H35" i="1"/>
  <c r="G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K1" i="1"/>
  <c r="AE74" i="1" s="1"/>
  <c r="AE71" i="1" l="1"/>
  <c r="AG71" i="1" s="1"/>
  <c r="AH71" i="1" s="1"/>
  <c r="AE86" i="1"/>
  <c r="AG86" i="1" s="1"/>
  <c r="AH86" i="1" s="1"/>
  <c r="AE83" i="1"/>
  <c r="AG83" i="1" s="1"/>
  <c r="AH83" i="1" s="1"/>
  <c r="AE52" i="1"/>
  <c r="AG52" i="1" s="1"/>
  <c r="AH52" i="1" s="1"/>
  <c r="AE80" i="1"/>
  <c r="AF80" i="1" s="1"/>
  <c r="AE100" i="1"/>
  <c r="AG100" i="1" s="1"/>
  <c r="AH100" i="1" s="1"/>
  <c r="AE89" i="1"/>
  <c r="AG89" i="1" s="1"/>
  <c r="AH89" i="1" s="1"/>
  <c r="AE122" i="1"/>
  <c r="AG122" i="1" s="1"/>
  <c r="AH122" i="1" s="1"/>
  <c r="AE93" i="1"/>
  <c r="AG93" i="1" s="1"/>
  <c r="AH93" i="1" s="1"/>
  <c r="AE103" i="1"/>
  <c r="AF103" i="1" s="1"/>
  <c r="AE107" i="1"/>
  <c r="AF107" i="1" s="1"/>
  <c r="AE111" i="1"/>
  <c r="AG111" i="1" s="1"/>
  <c r="AH111" i="1" s="1"/>
  <c r="AE115" i="1"/>
  <c r="AG115" i="1" s="1"/>
  <c r="AH115" i="1" s="1"/>
  <c r="AE119" i="1"/>
  <c r="AF119" i="1" s="1"/>
  <c r="AE132" i="1"/>
  <c r="AF132" i="1" s="1"/>
  <c r="AE143" i="1"/>
  <c r="AF143" i="1" s="1"/>
  <c r="AE162" i="1"/>
  <c r="AG162" i="1" s="1"/>
  <c r="AH162" i="1" s="1"/>
  <c r="AE166" i="1"/>
  <c r="AF166" i="1" s="1"/>
  <c r="AE217" i="1"/>
  <c r="AG217" i="1" s="1"/>
  <c r="AH217" i="1" s="1"/>
  <c r="AE221" i="1"/>
  <c r="AG221" i="1" s="1"/>
  <c r="AH221" i="1" s="1"/>
  <c r="AE225" i="1"/>
  <c r="AF225" i="1" s="1"/>
  <c r="AE229" i="1"/>
  <c r="AG229" i="1" s="1"/>
  <c r="AH229" i="1" s="1"/>
  <c r="AE233" i="1"/>
  <c r="AG233" i="1" s="1"/>
  <c r="AH233" i="1" s="1"/>
  <c r="AE237" i="1"/>
  <c r="AG237" i="1" s="1"/>
  <c r="AH237" i="1" s="1"/>
  <c r="AE241" i="1"/>
  <c r="AG241" i="1" s="1"/>
  <c r="AH241" i="1" s="1"/>
  <c r="AE245" i="1"/>
  <c r="AG245" i="1" s="1"/>
  <c r="AH245" i="1" s="1"/>
  <c r="AE249" i="1"/>
  <c r="AE278" i="1"/>
  <c r="AG278" i="1" s="1"/>
  <c r="AH278" i="1" s="1"/>
  <c r="AE53" i="1"/>
  <c r="AF53" i="1" s="1"/>
  <c r="AE56" i="1"/>
  <c r="AF56" i="1" s="1"/>
  <c r="AE72" i="1"/>
  <c r="AG72" i="1" s="1"/>
  <c r="AH72" i="1" s="1"/>
  <c r="AE77" i="1"/>
  <c r="AG77" i="1" s="1"/>
  <c r="AH77" i="1" s="1"/>
  <c r="AE81" i="1"/>
  <c r="AG81" i="1" s="1"/>
  <c r="AH81" i="1" s="1"/>
  <c r="AE97" i="1"/>
  <c r="AG97" i="1" s="1"/>
  <c r="AH97" i="1" s="1"/>
  <c r="AE123" i="1"/>
  <c r="AF123" i="1" s="1"/>
  <c r="AE126" i="1"/>
  <c r="AF126" i="1" s="1"/>
  <c r="AE129" i="1"/>
  <c r="AF129" i="1" s="1"/>
  <c r="AE136" i="1"/>
  <c r="AG136" i="1" s="1"/>
  <c r="AH136" i="1" s="1"/>
  <c r="AE140" i="1"/>
  <c r="AF140" i="1" s="1"/>
  <c r="AE147" i="1"/>
  <c r="AG147" i="1" s="1"/>
  <c r="AH147" i="1" s="1"/>
  <c r="AE151" i="1"/>
  <c r="AF151" i="1" s="1"/>
  <c r="AE155" i="1"/>
  <c r="AF155" i="1" s="1"/>
  <c r="AE159" i="1"/>
  <c r="AF159" i="1" s="1"/>
  <c r="AE170" i="1"/>
  <c r="AF170" i="1" s="1"/>
  <c r="AE174" i="1"/>
  <c r="AG174" i="1" s="1"/>
  <c r="AH174" i="1" s="1"/>
  <c r="AE178" i="1"/>
  <c r="AF178" i="1" s="1"/>
  <c r="AE182" i="1"/>
  <c r="AF182" i="1" s="1"/>
  <c r="AE186" i="1"/>
  <c r="AF186" i="1" s="1"/>
  <c r="AE190" i="1"/>
  <c r="AF190" i="1" s="1"/>
  <c r="AE194" i="1"/>
  <c r="AF194" i="1" s="1"/>
  <c r="AE198" i="1"/>
  <c r="AF198" i="1" s="1"/>
  <c r="AE202" i="1"/>
  <c r="AG202" i="1" s="1"/>
  <c r="AH202" i="1" s="1"/>
  <c r="AE206" i="1"/>
  <c r="AF206" i="1" s="1"/>
  <c r="AE210" i="1"/>
  <c r="AG210" i="1" s="1"/>
  <c r="AH210" i="1" s="1"/>
  <c r="AE214" i="1"/>
  <c r="AE253" i="1"/>
  <c r="AG253" i="1" s="1"/>
  <c r="AH253" i="1" s="1"/>
  <c r="AE257" i="1"/>
  <c r="AF257" i="1" s="1"/>
  <c r="AE261" i="1"/>
  <c r="AG261" i="1" s="1"/>
  <c r="AH261" i="1" s="1"/>
  <c r="AE265" i="1"/>
  <c r="AG265" i="1" s="1"/>
  <c r="AH265" i="1" s="1"/>
  <c r="AE269" i="1"/>
  <c r="AG269" i="1" s="1"/>
  <c r="AH269" i="1" s="1"/>
  <c r="AE274" i="1"/>
  <c r="AG274" i="1" s="1"/>
  <c r="AH274" i="1" s="1"/>
  <c r="AE295" i="1"/>
  <c r="AF295" i="1" s="1"/>
  <c r="AE323" i="1"/>
  <c r="AG323" i="1" s="1"/>
  <c r="AH323" i="1" s="1"/>
  <c r="AE329" i="1"/>
  <c r="AG329" i="1" s="1"/>
  <c r="AH329" i="1" s="1"/>
  <c r="AE57" i="1"/>
  <c r="AG57" i="1" s="1"/>
  <c r="AH57" i="1" s="1"/>
  <c r="AE98" i="1"/>
  <c r="AF98" i="1" s="1"/>
  <c r="AE101" i="1"/>
  <c r="AG101" i="1" s="1"/>
  <c r="AH101" i="1" s="1"/>
  <c r="AE124" i="1"/>
  <c r="AF124" i="1" s="1"/>
  <c r="AE130" i="1"/>
  <c r="AG130" i="1" s="1"/>
  <c r="AH130" i="1" s="1"/>
  <c r="AE137" i="1"/>
  <c r="AG137" i="1" s="1"/>
  <c r="AH137" i="1" s="1"/>
  <c r="AE141" i="1"/>
  <c r="AG141" i="1" s="1"/>
  <c r="AH141" i="1" s="1"/>
  <c r="AE148" i="1"/>
  <c r="AG148" i="1" s="1"/>
  <c r="AH148" i="1" s="1"/>
  <c r="AE152" i="1"/>
  <c r="AG152" i="1" s="1"/>
  <c r="AH152" i="1" s="1"/>
  <c r="AE156" i="1"/>
  <c r="AG156" i="1" s="1"/>
  <c r="AH156" i="1" s="1"/>
  <c r="AE160" i="1"/>
  <c r="AG160" i="1" s="1"/>
  <c r="AH160" i="1" s="1"/>
  <c r="AE171" i="1"/>
  <c r="AG171" i="1" s="1"/>
  <c r="AH171" i="1" s="1"/>
  <c r="AE175" i="1"/>
  <c r="AG175" i="1" s="1"/>
  <c r="AH175" i="1" s="1"/>
  <c r="AE179" i="1"/>
  <c r="AG179" i="1" s="1"/>
  <c r="AH179" i="1" s="1"/>
  <c r="AE183" i="1"/>
  <c r="AG183" i="1" s="1"/>
  <c r="AH183" i="1" s="1"/>
  <c r="AE187" i="1"/>
  <c r="AG187" i="1" s="1"/>
  <c r="AH187" i="1" s="1"/>
  <c r="AE191" i="1"/>
  <c r="AG191" i="1" s="1"/>
  <c r="AH191" i="1" s="1"/>
  <c r="AE195" i="1"/>
  <c r="AG195" i="1" s="1"/>
  <c r="AH195" i="1" s="1"/>
  <c r="AE199" i="1"/>
  <c r="AG199" i="1" s="1"/>
  <c r="AH199" i="1" s="1"/>
  <c r="AE203" i="1"/>
  <c r="AG203" i="1" s="1"/>
  <c r="AH203" i="1" s="1"/>
  <c r="AE207" i="1"/>
  <c r="AG207" i="1" s="1"/>
  <c r="AH207" i="1" s="1"/>
  <c r="AE211" i="1"/>
  <c r="AG211" i="1" s="1"/>
  <c r="AH211" i="1" s="1"/>
  <c r="AE250" i="1"/>
  <c r="AF250" i="1" s="1"/>
  <c r="AE254" i="1"/>
  <c r="AG254" i="1" s="1"/>
  <c r="AH254" i="1" s="1"/>
  <c r="AE258" i="1"/>
  <c r="AG258" i="1" s="1"/>
  <c r="AH258" i="1" s="1"/>
  <c r="AE262" i="1"/>
  <c r="AG262" i="1" s="1"/>
  <c r="AH262" i="1" s="1"/>
  <c r="AE266" i="1"/>
  <c r="AG266" i="1" s="1"/>
  <c r="AH266" i="1" s="1"/>
  <c r="AE270" i="1"/>
  <c r="AF270" i="1" s="1"/>
  <c r="AE275" i="1"/>
  <c r="AG275" i="1" s="1"/>
  <c r="AH275" i="1" s="1"/>
  <c r="AE291" i="1"/>
  <c r="AG291" i="1" s="1"/>
  <c r="AH291" i="1" s="1"/>
  <c r="AE296" i="1"/>
  <c r="AG296" i="1" s="1"/>
  <c r="AH296" i="1" s="1"/>
  <c r="AE310" i="1"/>
  <c r="AG310" i="1" s="1"/>
  <c r="AH310" i="1" s="1"/>
  <c r="AE79" i="1"/>
  <c r="AF79" i="1" s="1"/>
  <c r="AE82" i="1"/>
  <c r="AG82" i="1" s="1"/>
  <c r="AH82" i="1" s="1"/>
  <c r="AE88" i="1"/>
  <c r="AG88" i="1" s="1"/>
  <c r="AH88" i="1" s="1"/>
  <c r="AE91" i="1"/>
  <c r="AF91" i="1" s="1"/>
  <c r="AE95" i="1"/>
  <c r="AG95" i="1" s="1"/>
  <c r="AH95" i="1" s="1"/>
  <c r="AE105" i="1"/>
  <c r="AF105" i="1" s="1"/>
  <c r="AE109" i="1"/>
  <c r="AG109" i="1" s="1"/>
  <c r="AH109" i="1" s="1"/>
  <c r="AE113" i="1"/>
  <c r="AF113" i="1" s="1"/>
  <c r="AE117" i="1"/>
  <c r="AG117" i="1" s="1"/>
  <c r="AH117" i="1" s="1"/>
  <c r="AE121" i="1"/>
  <c r="AE134" i="1"/>
  <c r="AF134" i="1" s="1"/>
  <c r="AE145" i="1"/>
  <c r="AE164" i="1"/>
  <c r="AG164" i="1" s="1"/>
  <c r="AH164" i="1" s="1"/>
  <c r="AE215" i="1"/>
  <c r="AG215" i="1" s="1"/>
  <c r="AH215" i="1" s="1"/>
  <c r="AE219" i="1"/>
  <c r="AG219" i="1" s="1"/>
  <c r="AH219" i="1" s="1"/>
  <c r="AE223" i="1"/>
  <c r="AG223" i="1" s="1"/>
  <c r="AH223" i="1" s="1"/>
  <c r="AE227" i="1"/>
  <c r="AG227" i="1" s="1"/>
  <c r="AH227" i="1" s="1"/>
  <c r="AE231" i="1"/>
  <c r="AG231" i="1" s="1"/>
  <c r="AH231" i="1" s="1"/>
  <c r="AE235" i="1"/>
  <c r="AG235" i="1" s="1"/>
  <c r="AH235" i="1" s="1"/>
  <c r="AE239" i="1"/>
  <c r="AG239" i="1" s="1"/>
  <c r="AH239" i="1" s="1"/>
  <c r="AE243" i="1"/>
  <c r="AG243" i="1" s="1"/>
  <c r="AH243" i="1" s="1"/>
  <c r="AE247" i="1"/>
  <c r="AG247" i="1" s="1"/>
  <c r="AH247" i="1" s="1"/>
  <c r="AE87" i="1"/>
  <c r="AF87" i="1" s="1"/>
  <c r="AE94" i="1"/>
  <c r="AG94" i="1" s="1"/>
  <c r="AH94" i="1" s="1"/>
  <c r="AE108" i="1"/>
  <c r="AF108" i="1" s="1"/>
  <c r="AE116" i="1"/>
  <c r="AF116" i="1" s="1"/>
  <c r="AE120" i="1"/>
  <c r="AG120" i="1" s="1"/>
  <c r="AH120" i="1" s="1"/>
  <c r="AE133" i="1"/>
  <c r="AG133" i="1" s="1"/>
  <c r="AH133" i="1" s="1"/>
  <c r="AE167" i="1"/>
  <c r="AF167" i="1" s="1"/>
  <c r="AE218" i="1"/>
  <c r="AG218" i="1" s="1"/>
  <c r="AH218" i="1" s="1"/>
  <c r="AE226" i="1"/>
  <c r="AF226" i="1" s="1"/>
  <c r="AE230" i="1"/>
  <c r="AF230" i="1" s="1"/>
  <c r="AE234" i="1"/>
  <c r="AF234" i="1" s="1"/>
  <c r="AE242" i="1"/>
  <c r="AF242" i="1" s="1"/>
  <c r="AE58" i="1"/>
  <c r="AG58" i="1" s="1"/>
  <c r="AH58" i="1" s="1"/>
  <c r="AE85" i="1"/>
  <c r="AG85" i="1" s="1"/>
  <c r="AH85" i="1" s="1"/>
  <c r="AE99" i="1"/>
  <c r="AF99" i="1" s="1"/>
  <c r="AE127" i="1"/>
  <c r="AF127" i="1" s="1"/>
  <c r="AE138" i="1"/>
  <c r="AG138" i="1" s="1"/>
  <c r="AH138" i="1" s="1"/>
  <c r="AE142" i="1"/>
  <c r="AF142" i="1" s="1"/>
  <c r="AE149" i="1"/>
  <c r="AG149" i="1" s="1"/>
  <c r="AH149" i="1" s="1"/>
  <c r="AE153" i="1"/>
  <c r="AF153" i="1" s="1"/>
  <c r="AE157" i="1"/>
  <c r="AG157" i="1" s="1"/>
  <c r="AH157" i="1" s="1"/>
  <c r="AE161" i="1"/>
  <c r="AE168" i="1"/>
  <c r="AF168" i="1" s="1"/>
  <c r="AE172" i="1"/>
  <c r="AG172" i="1" s="1"/>
  <c r="AH172" i="1" s="1"/>
  <c r="AE176" i="1"/>
  <c r="AG176" i="1" s="1"/>
  <c r="AH176" i="1" s="1"/>
  <c r="AE180" i="1"/>
  <c r="AG180" i="1" s="1"/>
  <c r="AH180" i="1" s="1"/>
  <c r="AE184" i="1"/>
  <c r="AG184" i="1" s="1"/>
  <c r="AH184" i="1" s="1"/>
  <c r="AE188" i="1"/>
  <c r="AG188" i="1" s="1"/>
  <c r="AH188" i="1" s="1"/>
  <c r="AE192" i="1"/>
  <c r="AF192" i="1" s="1"/>
  <c r="AE196" i="1"/>
  <c r="AG196" i="1" s="1"/>
  <c r="AH196" i="1" s="1"/>
  <c r="AE200" i="1"/>
  <c r="AG200" i="1" s="1"/>
  <c r="AH200" i="1" s="1"/>
  <c r="AE204" i="1"/>
  <c r="AG204" i="1" s="1"/>
  <c r="AH204" i="1" s="1"/>
  <c r="AE208" i="1"/>
  <c r="AG208" i="1" s="1"/>
  <c r="AH208" i="1" s="1"/>
  <c r="AE212" i="1"/>
  <c r="AG212" i="1" s="1"/>
  <c r="AH212" i="1" s="1"/>
  <c r="AE251" i="1"/>
  <c r="AG251" i="1" s="1"/>
  <c r="AH251" i="1" s="1"/>
  <c r="AE255" i="1"/>
  <c r="AG255" i="1" s="1"/>
  <c r="AH255" i="1" s="1"/>
  <c r="AE259" i="1"/>
  <c r="AG259" i="1" s="1"/>
  <c r="AH259" i="1" s="1"/>
  <c r="AE263" i="1"/>
  <c r="AG263" i="1" s="1"/>
  <c r="AH263" i="1" s="1"/>
  <c r="AE267" i="1"/>
  <c r="AG267" i="1" s="1"/>
  <c r="AH267" i="1" s="1"/>
  <c r="AE271" i="1"/>
  <c r="AG271" i="1" s="1"/>
  <c r="AH271" i="1" s="1"/>
  <c r="AE281" i="1"/>
  <c r="AG281" i="1" s="1"/>
  <c r="AH281" i="1" s="1"/>
  <c r="AE287" i="1"/>
  <c r="AF287" i="1" s="1"/>
  <c r="AE292" i="1"/>
  <c r="AG292" i="1" s="1"/>
  <c r="AH292" i="1" s="1"/>
  <c r="AE84" i="1"/>
  <c r="AF84" i="1" s="1"/>
  <c r="AE90" i="1"/>
  <c r="AF90" i="1" s="1"/>
  <c r="AE104" i="1"/>
  <c r="AG104" i="1" s="1"/>
  <c r="AH104" i="1" s="1"/>
  <c r="AE112" i="1"/>
  <c r="AG112" i="1" s="1"/>
  <c r="AH112" i="1" s="1"/>
  <c r="AE163" i="1"/>
  <c r="AG163" i="1" s="1"/>
  <c r="AH163" i="1" s="1"/>
  <c r="AE222" i="1"/>
  <c r="AG222" i="1" s="1"/>
  <c r="AH222" i="1" s="1"/>
  <c r="AE238" i="1"/>
  <c r="AF238" i="1" s="1"/>
  <c r="AE246" i="1"/>
  <c r="AG246" i="1" s="1"/>
  <c r="AH246" i="1" s="1"/>
  <c r="AE92" i="1"/>
  <c r="AG92" i="1" s="1"/>
  <c r="AH92" i="1" s="1"/>
  <c r="AE96" i="1"/>
  <c r="AF96" i="1" s="1"/>
  <c r="AE102" i="1"/>
  <c r="AG102" i="1" s="1"/>
  <c r="AH102" i="1" s="1"/>
  <c r="AE106" i="1"/>
  <c r="AG106" i="1" s="1"/>
  <c r="AH106" i="1" s="1"/>
  <c r="AE110" i="1"/>
  <c r="AF110" i="1" s="1"/>
  <c r="AE114" i="1"/>
  <c r="AG114" i="1" s="1"/>
  <c r="AH114" i="1" s="1"/>
  <c r="AE118" i="1"/>
  <c r="AF118" i="1" s="1"/>
  <c r="AE125" i="1"/>
  <c r="AG125" i="1" s="1"/>
  <c r="AH125" i="1" s="1"/>
  <c r="AE131" i="1"/>
  <c r="AF131" i="1" s="1"/>
  <c r="AE135" i="1"/>
  <c r="AE165" i="1"/>
  <c r="AF165" i="1" s="1"/>
  <c r="AE216" i="1"/>
  <c r="AG216" i="1" s="1"/>
  <c r="AH216" i="1" s="1"/>
  <c r="AE220" i="1"/>
  <c r="AG220" i="1" s="1"/>
  <c r="AH220" i="1" s="1"/>
  <c r="AE224" i="1"/>
  <c r="AG224" i="1" s="1"/>
  <c r="AH224" i="1" s="1"/>
  <c r="AE228" i="1"/>
  <c r="AG228" i="1" s="1"/>
  <c r="AH228" i="1" s="1"/>
  <c r="AE232" i="1"/>
  <c r="AF232" i="1" s="1"/>
  <c r="AE236" i="1"/>
  <c r="AG236" i="1" s="1"/>
  <c r="AH236" i="1" s="1"/>
  <c r="AE240" i="1"/>
  <c r="AG240" i="1" s="1"/>
  <c r="AH240" i="1" s="1"/>
  <c r="AE244" i="1"/>
  <c r="AG244" i="1" s="1"/>
  <c r="AH244" i="1" s="1"/>
  <c r="AE248" i="1"/>
  <c r="AG248" i="1" s="1"/>
  <c r="AH248" i="1" s="1"/>
  <c r="AE128" i="1"/>
  <c r="AG128" i="1" s="1"/>
  <c r="AH128" i="1" s="1"/>
  <c r="AE139" i="1"/>
  <c r="AF139" i="1" s="1"/>
  <c r="AE146" i="1"/>
  <c r="AG146" i="1" s="1"/>
  <c r="AH146" i="1" s="1"/>
  <c r="AE150" i="1"/>
  <c r="AF150" i="1" s="1"/>
  <c r="AE154" i="1"/>
  <c r="AG154" i="1" s="1"/>
  <c r="AH154" i="1" s="1"/>
  <c r="AE158" i="1"/>
  <c r="AF158" i="1" s="1"/>
  <c r="AE169" i="1"/>
  <c r="AF169" i="1" s="1"/>
  <c r="AE173" i="1"/>
  <c r="AG173" i="1" s="1"/>
  <c r="AH173" i="1" s="1"/>
  <c r="AE177" i="1"/>
  <c r="AG177" i="1" s="1"/>
  <c r="AH177" i="1" s="1"/>
  <c r="AE181" i="1"/>
  <c r="AG181" i="1" s="1"/>
  <c r="AH181" i="1" s="1"/>
  <c r="AE185" i="1"/>
  <c r="AF185" i="1" s="1"/>
  <c r="AE189" i="1"/>
  <c r="AG189" i="1" s="1"/>
  <c r="AH189" i="1" s="1"/>
  <c r="AE193" i="1"/>
  <c r="AF193" i="1" s="1"/>
  <c r="AE197" i="1"/>
  <c r="AG197" i="1" s="1"/>
  <c r="AH197" i="1" s="1"/>
  <c r="AE201" i="1"/>
  <c r="AG201" i="1" s="1"/>
  <c r="AH201" i="1" s="1"/>
  <c r="AE205" i="1"/>
  <c r="AG205" i="1" s="1"/>
  <c r="AH205" i="1" s="1"/>
  <c r="AE209" i="1"/>
  <c r="AG209" i="1" s="1"/>
  <c r="AH209" i="1" s="1"/>
  <c r="AE213" i="1"/>
  <c r="AG213" i="1" s="1"/>
  <c r="AH213" i="1" s="1"/>
  <c r="AE252" i="1"/>
  <c r="AG252" i="1" s="1"/>
  <c r="AH252" i="1" s="1"/>
  <c r="AE256" i="1"/>
  <c r="AG256" i="1" s="1"/>
  <c r="AH256" i="1" s="1"/>
  <c r="AE260" i="1"/>
  <c r="AG260" i="1" s="1"/>
  <c r="AH260" i="1" s="1"/>
  <c r="AE264" i="1"/>
  <c r="AG264" i="1" s="1"/>
  <c r="AH264" i="1" s="1"/>
  <c r="AE268" i="1"/>
  <c r="AG268" i="1" s="1"/>
  <c r="AH268" i="1" s="1"/>
  <c r="AE282" i="1"/>
  <c r="AG282" i="1" s="1"/>
  <c r="AH282" i="1" s="1"/>
  <c r="AE288" i="1"/>
  <c r="AG288" i="1" s="1"/>
  <c r="AH288" i="1" s="1"/>
  <c r="AE299" i="1"/>
  <c r="AG299" i="1" s="1"/>
  <c r="AH299" i="1" s="1"/>
  <c r="AE318" i="1"/>
  <c r="AG318" i="1" s="1"/>
  <c r="AH318" i="1" s="1"/>
  <c r="AE272" i="1"/>
  <c r="AG272" i="1" s="1"/>
  <c r="AH272" i="1" s="1"/>
  <c r="AE279" i="1"/>
  <c r="AF279" i="1" s="1"/>
  <c r="AE289" i="1"/>
  <c r="AG289" i="1" s="1"/>
  <c r="AH289" i="1" s="1"/>
  <c r="AE293" i="1"/>
  <c r="AG293" i="1" s="1"/>
  <c r="AH293" i="1" s="1"/>
  <c r="AE297" i="1"/>
  <c r="AG297" i="1" s="1"/>
  <c r="AH297" i="1" s="1"/>
  <c r="AE301" i="1"/>
  <c r="AG301" i="1" s="1"/>
  <c r="AH301" i="1" s="1"/>
  <c r="AE307" i="1"/>
  <c r="AG307" i="1" s="1"/>
  <c r="AH307" i="1" s="1"/>
  <c r="AE276" i="1"/>
  <c r="AG276" i="1" s="1"/>
  <c r="AH276" i="1" s="1"/>
  <c r="AE273" i="1"/>
  <c r="AF273" i="1" s="1"/>
  <c r="AE280" i="1"/>
  <c r="AG280" i="1" s="1"/>
  <c r="AH280" i="1" s="1"/>
  <c r="AE290" i="1"/>
  <c r="AG290" i="1" s="1"/>
  <c r="AH290" i="1" s="1"/>
  <c r="AE294" i="1"/>
  <c r="AG294" i="1" s="1"/>
  <c r="AH294" i="1" s="1"/>
  <c r="AE298" i="1"/>
  <c r="AG298" i="1" s="1"/>
  <c r="AH298" i="1" s="1"/>
  <c r="AE277" i="1"/>
  <c r="AG277" i="1" s="1"/>
  <c r="AH277" i="1" s="1"/>
  <c r="AE303" i="1"/>
  <c r="AG303" i="1" s="1"/>
  <c r="AH303" i="1" s="1"/>
  <c r="AE309" i="1"/>
  <c r="AG309" i="1" s="1"/>
  <c r="AH309" i="1" s="1"/>
  <c r="AE315" i="1"/>
  <c r="AG315" i="1" s="1"/>
  <c r="AH315" i="1" s="1"/>
  <c r="AF91" i="2"/>
  <c r="AH91" i="2" s="1"/>
  <c r="AI91" i="2" s="1"/>
  <c r="AE349" i="1"/>
  <c r="AG349" i="1" s="1"/>
  <c r="AH349" i="1" s="1"/>
  <c r="AE336" i="1"/>
  <c r="AF336" i="1" s="1"/>
  <c r="AE304" i="1"/>
  <c r="AG304" i="1" s="1"/>
  <c r="AH304" i="1" s="1"/>
  <c r="AF26" i="2"/>
  <c r="AH26" i="2" s="1"/>
  <c r="AI26" i="2" s="1"/>
  <c r="AE65" i="1"/>
  <c r="AF65" i="1" s="1"/>
  <c r="AE60" i="1"/>
  <c r="AF60" i="1" s="1"/>
  <c r="AE308" i="1"/>
  <c r="AG308" i="1" s="1"/>
  <c r="AH308" i="1" s="1"/>
  <c r="AE319" i="1"/>
  <c r="AG319" i="1" s="1"/>
  <c r="AH319" i="1" s="1"/>
  <c r="AE352" i="1"/>
  <c r="AG352" i="1" s="1"/>
  <c r="AH352" i="1" s="1"/>
  <c r="AE305" i="1"/>
  <c r="AG305" i="1" s="1"/>
  <c r="AH305" i="1" s="1"/>
  <c r="AE332" i="1"/>
  <c r="AG332" i="1" s="1"/>
  <c r="AH332" i="1" s="1"/>
  <c r="AF12" i="2"/>
  <c r="AH12" i="2" s="1"/>
  <c r="AI12" i="2" s="1"/>
  <c r="AE68" i="1"/>
  <c r="AG68" i="1" s="1"/>
  <c r="AH68" i="1" s="1"/>
  <c r="AF118" i="2"/>
  <c r="AH118" i="2" s="1"/>
  <c r="AI118" i="2" s="1"/>
  <c r="AE302" i="1"/>
  <c r="AG302" i="1" s="1"/>
  <c r="AH302" i="1" s="1"/>
  <c r="AE306" i="1"/>
  <c r="AE43" i="1"/>
  <c r="AG43" i="1" s="1"/>
  <c r="AH43" i="1" s="1"/>
  <c r="AE324" i="1"/>
  <c r="AF324" i="1" s="1"/>
  <c r="AE327" i="1"/>
  <c r="AE335" i="1"/>
  <c r="AG335" i="1" s="1"/>
  <c r="AH335" i="1" s="1"/>
  <c r="AE341" i="1"/>
  <c r="AG341" i="1" s="1"/>
  <c r="AH341" i="1" s="1"/>
  <c r="AE360" i="1"/>
  <c r="AG360" i="1" s="1"/>
  <c r="AH360" i="1" s="1"/>
  <c r="AF33" i="2"/>
  <c r="AG33" i="2" s="1"/>
  <c r="AF25" i="2"/>
  <c r="AH25" i="2" s="1"/>
  <c r="AI25" i="2" s="1"/>
  <c r="AE54" i="1"/>
  <c r="AG54" i="1" s="1"/>
  <c r="AH54" i="1" s="1"/>
  <c r="AE62" i="1"/>
  <c r="AG62" i="1" s="1"/>
  <c r="AH62" i="1" s="1"/>
  <c r="AE311" i="1"/>
  <c r="AG311" i="1" s="1"/>
  <c r="AH311" i="1" s="1"/>
  <c r="AE313" i="1"/>
  <c r="AE316" i="1"/>
  <c r="AG316" i="1" s="1"/>
  <c r="AH316" i="1" s="1"/>
  <c r="AE321" i="1"/>
  <c r="AE330" i="1"/>
  <c r="AG330" i="1" s="1"/>
  <c r="AH330" i="1" s="1"/>
  <c r="AF45" i="2"/>
  <c r="AH45" i="2" s="1"/>
  <c r="AI45" i="2" s="1"/>
  <c r="AF65" i="2"/>
  <c r="AH65" i="2" s="1"/>
  <c r="AI65" i="2" s="1"/>
  <c r="AF36" i="2"/>
  <c r="AG36" i="2" s="1"/>
  <c r="AF47" i="2"/>
  <c r="AG47" i="2" s="1"/>
  <c r="AF124" i="2"/>
  <c r="AH124" i="2" s="1"/>
  <c r="AI124" i="2" s="1"/>
  <c r="AE70" i="1"/>
  <c r="AG70" i="1" s="1"/>
  <c r="AH70" i="1" s="1"/>
  <c r="AE59" i="1"/>
  <c r="AF59" i="1" s="1"/>
  <c r="AE69" i="1"/>
  <c r="AE47" i="1"/>
  <c r="AF47" i="1" s="1"/>
  <c r="AE49" i="1"/>
  <c r="AF49" i="1" s="1"/>
  <c r="AE55" i="1"/>
  <c r="AF55" i="1" s="1"/>
  <c r="AE78" i="1"/>
  <c r="AG78" i="1" s="1"/>
  <c r="AH78" i="1" s="1"/>
  <c r="AE317" i="1"/>
  <c r="AE325" i="1"/>
  <c r="AG325" i="1" s="1"/>
  <c r="AH325" i="1" s="1"/>
  <c r="AE328" i="1"/>
  <c r="AE331" i="1"/>
  <c r="AE333" i="1"/>
  <c r="AF333" i="1" s="1"/>
  <c r="AF128" i="2"/>
  <c r="AH128" i="2" s="1"/>
  <c r="AI128" i="2" s="1"/>
  <c r="AE48" i="1"/>
  <c r="AG48" i="1" s="1"/>
  <c r="AH48" i="1" s="1"/>
  <c r="AE73" i="1"/>
  <c r="AF73" i="1" s="1"/>
  <c r="AE42" i="1"/>
  <c r="AG42" i="1" s="1"/>
  <c r="AH42" i="1" s="1"/>
  <c r="AE312" i="1"/>
  <c r="AE320" i="1"/>
  <c r="AE322" i="1"/>
  <c r="AG322" i="1" s="1"/>
  <c r="AH322" i="1" s="1"/>
  <c r="AE344" i="1"/>
  <c r="AG344" i="1" s="1"/>
  <c r="AH344" i="1" s="1"/>
  <c r="AE357" i="1"/>
  <c r="AG357" i="1" s="1"/>
  <c r="AH357" i="1" s="1"/>
  <c r="AF83" i="2"/>
  <c r="AH83" i="2" s="1"/>
  <c r="AI83" i="2" s="1"/>
  <c r="AE44" i="1"/>
  <c r="AG44" i="1" s="1"/>
  <c r="AH44" i="1" s="1"/>
  <c r="AE64" i="1"/>
  <c r="AG64" i="1" s="1"/>
  <c r="AH64" i="1" s="1"/>
  <c r="AE76" i="1"/>
  <c r="AG76" i="1" s="1"/>
  <c r="AH76" i="1" s="1"/>
  <c r="AE314" i="1"/>
  <c r="AG314" i="1" s="1"/>
  <c r="AH314" i="1" s="1"/>
  <c r="AE326" i="1"/>
  <c r="AE334" i="1"/>
  <c r="AF97" i="2"/>
  <c r="AH97" i="2" s="1"/>
  <c r="AI97" i="2" s="1"/>
  <c r="AF74" i="1"/>
  <c r="AG74" i="1"/>
  <c r="AH74" i="1" s="1"/>
  <c r="AG45" i="1"/>
  <c r="AH45" i="1" s="1"/>
  <c r="AH9" i="2"/>
  <c r="AI9" i="2" s="1"/>
  <c r="AG9" i="2"/>
  <c r="AG51" i="1"/>
  <c r="AH51" i="1" s="1"/>
  <c r="AE61" i="1"/>
  <c r="AE67" i="1"/>
  <c r="AE75" i="1"/>
  <c r="AF144" i="1"/>
  <c r="AE46" i="1"/>
  <c r="AE50" i="1"/>
  <c r="AE66" i="1"/>
  <c r="AE337" i="1"/>
  <c r="AE338" i="1"/>
  <c r="AE300" i="1"/>
  <c r="AE284" i="1"/>
  <c r="AE285" i="1"/>
  <c r="AE283" i="1"/>
  <c r="AE286" i="1"/>
  <c r="AE63" i="1"/>
  <c r="AD324" i="1"/>
  <c r="AF105" i="2"/>
  <c r="AF77" i="2"/>
  <c r="AF46" i="2"/>
  <c r="AF30" i="2"/>
  <c r="AF68" i="2"/>
  <c r="AF61" i="2"/>
  <c r="AF27" i="2"/>
  <c r="AF32" i="2"/>
  <c r="AF70" i="2"/>
  <c r="AF64" i="2"/>
  <c r="AF34" i="2"/>
  <c r="AF76" i="2"/>
  <c r="AF103" i="2"/>
  <c r="AF38" i="2"/>
  <c r="AF88" i="2"/>
  <c r="AF7" i="2"/>
  <c r="AE346" i="1"/>
  <c r="AE354" i="1"/>
  <c r="AF78" i="2"/>
  <c r="AF55" i="2"/>
  <c r="AF81" i="2"/>
  <c r="AF60" i="2"/>
  <c r="AF13" i="2"/>
  <c r="AF18" i="2"/>
  <c r="AF39" i="2"/>
  <c r="AF29" i="2"/>
  <c r="AF48" i="2"/>
  <c r="AF67" i="2"/>
  <c r="AF102" i="2"/>
  <c r="AF50" i="2"/>
  <c r="AF49" i="2"/>
  <c r="AF22" i="2"/>
  <c r="AF4" i="2"/>
  <c r="AF8" i="2"/>
  <c r="AE343" i="1"/>
  <c r="AE351" i="1"/>
  <c r="AE359" i="1"/>
  <c r="AF92" i="2"/>
  <c r="AF80" i="2"/>
  <c r="AF56" i="2"/>
  <c r="AF58" i="2"/>
  <c r="AF17" i="2"/>
  <c r="AF117" i="2"/>
  <c r="AF111" i="2"/>
  <c r="AF120" i="2"/>
  <c r="AF85" i="2"/>
  <c r="AF123" i="2"/>
  <c r="AF72" i="2"/>
  <c r="AF16" i="2"/>
  <c r="AF23" i="2"/>
  <c r="AF40" i="2"/>
  <c r="AF104" i="2"/>
  <c r="AE340" i="1"/>
  <c r="AE348" i="1"/>
  <c r="AE356" i="1"/>
  <c r="AF51" i="2"/>
  <c r="AF52" i="2"/>
  <c r="AF95" i="2"/>
  <c r="AF57" i="2"/>
  <c r="AF69" i="2"/>
  <c r="AF31" i="2"/>
  <c r="AF99" i="2"/>
  <c r="AF63" i="2"/>
  <c r="AF101" i="2"/>
  <c r="AF66" i="2"/>
  <c r="AE125" i="2"/>
  <c r="AF35" i="2"/>
  <c r="AF74" i="2"/>
  <c r="AF107" i="2"/>
  <c r="AF21" i="2"/>
  <c r="AF6" i="2"/>
  <c r="AF10" i="2"/>
  <c r="AE345" i="1"/>
  <c r="AE353" i="1"/>
  <c r="AE361" i="1"/>
  <c r="AF93" i="2"/>
  <c r="AF54" i="2"/>
  <c r="AF90" i="2"/>
  <c r="AF59" i="2"/>
  <c r="AF98" i="2"/>
  <c r="AF84" i="2"/>
  <c r="AF100" i="2"/>
  <c r="AF109" i="2"/>
  <c r="AF121" i="2"/>
  <c r="AF86" i="2"/>
  <c r="AF125" i="2"/>
  <c r="AG125" i="2" s="1"/>
  <c r="AF106" i="2"/>
  <c r="AF75" i="2"/>
  <c r="AF126" i="2"/>
  <c r="AF42" i="2"/>
  <c r="AF108" i="2"/>
  <c r="AE342" i="1"/>
  <c r="AE350" i="1"/>
  <c r="AE358" i="1"/>
  <c r="AF43" i="2"/>
  <c r="AF53" i="2"/>
  <c r="AF96" i="2"/>
  <c r="AF82" i="2"/>
  <c r="AF116" i="2"/>
  <c r="AF62" i="2"/>
  <c r="AF14" i="2"/>
  <c r="AF119" i="2"/>
  <c r="AF112" i="2"/>
  <c r="AF122" i="2"/>
  <c r="AF19" i="2"/>
  <c r="AF37" i="2"/>
  <c r="AF20" i="2"/>
  <c r="AF89" i="2"/>
  <c r="AF127" i="2"/>
  <c r="AE339" i="1"/>
  <c r="AE347" i="1"/>
  <c r="AE355" i="1"/>
  <c r="AF79" i="2"/>
  <c r="AF94" i="2"/>
  <c r="AF114" i="2"/>
  <c r="AF115" i="2"/>
  <c r="AF110" i="2"/>
  <c r="AF28" i="2"/>
  <c r="AF15" i="2"/>
  <c r="AF71" i="2"/>
  <c r="AF41" i="2"/>
  <c r="AF3" i="2"/>
  <c r="AF113" i="2"/>
  <c r="AF73" i="2"/>
  <c r="AF87" i="2"/>
  <c r="AF24" i="2"/>
  <c r="AF5" i="2"/>
  <c r="AF261" i="1" l="1"/>
  <c r="AF71" i="1"/>
  <c r="AF259" i="1"/>
  <c r="AG198" i="1"/>
  <c r="AH198" i="1" s="1"/>
  <c r="AG107" i="1"/>
  <c r="AH107" i="1" s="1"/>
  <c r="AF217" i="1"/>
  <c r="AF101" i="1"/>
  <c r="AF157" i="1"/>
  <c r="AG123" i="1"/>
  <c r="AH123" i="1" s="1"/>
  <c r="AF52" i="1"/>
  <c r="AF133" i="1"/>
  <c r="AG134" i="1"/>
  <c r="AH134" i="1" s="1"/>
  <c r="AF265" i="1"/>
  <c r="AF199" i="1"/>
  <c r="AF196" i="1"/>
  <c r="AF83" i="1"/>
  <c r="AF88" i="1"/>
  <c r="AF160" i="1"/>
  <c r="AG159" i="1"/>
  <c r="AH159" i="1" s="1"/>
  <c r="AG192" i="1"/>
  <c r="AH192" i="1" s="1"/>
  <c r="AF58" i="1"/>
  <c r="AF221" i="1"/>
  <c r="AF104" i="1"/>
  <c r="AF278" i="1"/>
  <c r="AF85" i="1"/>
  <c r="AF239" i="1"/>
  <c r="AF264" i="1"/>
  <c r="AF240" i="1"/>
  <c r="AG90" i="1"/>
  <c r="AH90" i="1" s="1"/>
  <c r="AF235" i="1"/>
  <c r="AF266" i="1"/>
  <c r="AF120" i="1"/>
  <c r="AF269" i="1"/>
  <c r="AF156" i="1"/>
  <c r="AG194" i="1"/>
  <c r="AH194" i="1" s="1"/>
  <c r="AF245" i="1"/>
  <c r="AF260" i="1"/>
  <c r="AG155" i="1"/>
  <c r="AH155" i="1" s="1"/>
  <c r="AG103" i="1"/>
  <c r="AH103" i="1" s="1"/>
  <c r="AF97" i="1"/>
  <c r="AF188" i="1"/>
  <c r="AG98" i="1"/>
  <c r="AH98" i="1" s="1"/>
  <c r="AF195" i="1"/>
  <c r="AG116" i="1"/>
  <c r="AH116" i="1" s="1"/>
  <c r="AF86" i="1"/>
  <c r="AF82" i="1"/>
  <c r="AF262" i="1"/>
  <c r="AF255" i="1"/>
  <c r="AG166" i="1"/>
  <c r="AH166" i="1" s="1"/>
  <c r="AG168" i="1"/>
  <c r="AH168" i="1" s="1"/>
  <c r="AG242" i="1"/>
  <c r="AH242" i="1" s="1"/>
  <c r="AG153" i="1"/>
  <c r="AH153" i="1" s="1"/>
  <c r="AF231" i="1"/>
  <c r="AF282" i="1"/>
  <c r="AF216" i="1"/>
  <c r="AF92" i="1"/>
  <c r="AF236" i="1"/>
  <c r="AF281" i="1"/>
  <c r="AF154" i="1"/>
  <c r="AF248" i="1"/>
  <c r="AF207" i="1"/>
  <c r="AF200" i="1"/>
  <c r="AF106" i="1"/>
  <c r="AF112" i="1"/>
  <c r="AF141" i="1"/>
  <c r="AF202" i="1"/>
  <c r="AG165" i="1"/>
  <c r="AH165" i="1" s="1"/>
  <c r="AF171" i="1"/>
  <c r="AG126" i="1"/>
  <c r="AH126" i="1" s="1"/>
  <c r="AF114" i="1"/>
  <c r="AG250" i="1"/>
  <c r="AH250" i="1" s="1"/>
  <c r="AF89" i="1"/>
  <c r="AF244" i="1"/>
  <c r="AF203" i="1"/>
  <c r="AG170" i="1"/>
  <c r="AH170" i="1" s="1"/>
  <c r="AF111" i="1"/>
  <c r="AG124" i="1"/>
  <c r="AH124" i="1" s="1"/>
  <c r="AF173" i="1"/>
  <c r="AF263" i="1"/>
  <c r="AF268" i="1"/>
  <c r="AF102" i="1"/>
  <c r="AG91" i="1"/>
  <c r="AH91" i="1" s="1"/>
  <c r="AG270" i="1"/>
  <c r="AH270" i="1" s="1"/>
  <c r="AF272" i="1"/>
  <c r="AG131" i="1"/>
  <c r="AH131" i="1" s="1"/>
  <c r="AF276" i="1"/>
  <c r="AF318" i="1"/>
  <c r="AF211" i="1"/>
  <c r="AF271" i="1"/>
  <c r="AG295" i="1"/>
  <c r="AH295" i="1" s="1"/>
  <c r="AF247" i="1"/>
  <c r="AF137" i="1"/>
  <c r="AG105" i="1"/>
  <c r="AH105" i="1" s="1"/>
  <c r="AF100" i="1"/>
  <c r="AG193" i="1"/>
  <c r="AH193" i="1" s="1"/>
  <c r="AF316" i="1"/>
  <c r="AF304" i="1"/>
  <c r="AF308" i="1"/>
  <c r="AG55" i="1"/>
  <c r="AH55" i="1" s="1"/>
  <c r="AF48" i="1"/>
  <c r="AG84" i="1"/>
  <c r="AH84" i="1" s="1"/>
  <c r="AH47" i="2"/>
  <c r="AI47" i="2" s="1"/>
  <c r="AF201" i="1"/>
  <c r="AG139" i="1"/>
  <c r="AH139" i="1" s="1"/>
  <c r="AG96" i="1"/>
  <c r="AH96" i="1" s="1"/>
  <c r="AG142" i="1"/>
  <c r="AH142" i="1" s="1"/>
  <c r="AF277" i="1"/>
  <c r="AG47" i="1"/>
  <c r="AH47" i="1" s="1"/>
  <c r="AG169" i="1"/>
  <c r="AH169" i="1" s="1"/>
  <c r="AF149" i="1"/>
  <c r="AF197" i="1"/>
  <c r="AG158" i="1"/>
  <c r="AH158" i="1" s="1"/>
  <c r="AG79" i="1"/>
  <c r="AH79" i="1" s="1"/>
  <c r="AF76" i="1"/>
  <c r="AG91" i="2"/>
  <c r="AH33" i="2"/>
  <c r="AI33" i="2" s="1"/>
  <c r="AF302" i="1"/>
  <c r="AF275" i="1"/>
  <c r="AF174" i="1"/>
  <c r="AF294" i="1"/>
  <c r="AF125" i="1"/>
  <c r="AG167" i="1"/>
  <c r="AH167" i="1" s="1"/>
  <c r="AG99" i="1"/>
  <c r="AH99" i="1" s="1"/>
  <c r="AF164" i="1"/>
  <c r="AF267" i="1"/>
  <c r="AG129" i="1"/>
  <c r="AH129" i="1" s="1"/>
  <c r="AG234" i="1"/>
  <c r="AH234" i="1" s="1"/>
  <c r="AG80" i="1"/>
  <c r="AH80" i="1" s="1"/>
  <c r="AG206" i="1"/>
  <c r="AH206" i="1" s="1"/>
  <c r="AF274" i="1"/>
  <c r="AF130" i="1"/>
  <c r="AF115" i="1"/>
  <c r="AF205" i="1"/>
  <c r="AF175" i="1"/>
  <c r="AG225" i="1"/>
  <c r="AH225" i="1" s="1"/>
  <c r="AF95" i="1"/>
  <c r="AF243" i="1"/>
  <c r="AG53" i="1"/>
  <c r="AH53" i="1" s="1"/>
  <c r="AG232" i="1"/>
  <c r="AH232" i="1" s="1"/>
  <c r="AF57" i="1"/>
  <c r="AF81" i="1"/>
  <c r="AF189" i="1"/>
  <c r="AF93" i="1"/>
  <c r="AF256" i="1"/>
  <c r="AF184" i="1"/>
  <c r="AF251" i="1"/>
  <c r="AF241" i="1"/>
  <c r="AF227" i="1"/>
  <c r="AF298" i="1"/>
  <c r="AF258" i="1"/>
  <c r="AF122" i="1"/>
  <c r="AG151" i="1"/>
  <c r="AH151" i="1" s="1"/>
  <c r="AG150" i="1"/>
  <c r="AH150" i="1" s="1"/>
  <c r="AG257" i="1"/>
  <c r="AH257" i="1" s="1"/>
  <c r="AG108" i="1"/>
  <c r="AH108" i="1" s="1"/>
  <c r="AF162" i="1"/>
  <c r="AF117" i="1"/>
  <c r="AG190" i="1"/>
  <c r="AH190" i="1" s="1"/>
  <c r="AF152" i="1"/>
  <c r="AF54" i="1"/>
  <c r="AF246" i="1"/>
  <c r="AF292" i="1"/>
  <c r="AF191" i="1"/>
  <c r="AF323" i="1"/>
  <c r="AF322" i="1"/>
  <c r="AF220" i="1"/>
  <c r="AF218" i="1"/>
  <c r="AF179" i="1"/>
  <c r="AG56" i="1"/>
  <c r="AH56" i="1" s="1"/>
  <c r="AF332" i="1"/>
  <c r="AF215" i="1"/>
  <c r="AG119" i="1"/>
  <c r="AH119" i="1" s="1"/>
  <c r="AF209" i="1"/>
  <c r="AG336" i="1"/>
  <c r="AH336" i="1" s="1"/>
  <c r="AF204" i="1"/>
  <c r="AF210" i="1"/>
  <c r="AF297" i="1"/>
  <c r="AG110" i="1"/>
  <c r="AH110" i="1" s="1"/>
  <c r="AG178" i="1"/>
  <c r="AH178" i="1" s="1"/>
  <c r="AG140" i="1"/>
  <c r="AH140" i="1" s="1"/>
  <c r="AF177" i="1"/>
  <c r="AG127" i="1"/>
  <c r="AH127" i="1" s="1"/>
  <c r="AF357" i="1"/>
  <c r="AF290" i="1"/>
  <c r="AF288" i="1"/>
  <c r="AF229" i="1"/>
  <c r="AF128" i="1"/>
  <c r="AF136" i="1"/>
  <c r="AF280" i="1"/>
  <c r="AF163" i="1"/>
  <c r="AF291" i="1"/>
  <c r="AF213" i="1"/>
  <c r="AF349" i="1"/>
  <c r="AF172" i="1"/>
  <c r="AF305" i="1"/>
  <c r="AF72" i="1"/>
  <c r="AF208" i="1"/>
  <c r="AF146" i="1"/>
  <c r="AG238" i="1"/>
  <c r="AH238" i="1" s="1"/>
  <c r="AF214" i="1"/>
  <c r="AG214" i="1"/>
  <c r="AH214" i="1" s="1"/>
  <c r="AF252" i="1"/>
  <c r="AF181" i="1"/>
  <c r="AG185" i="1"/>
  <c r="AH185" i="1" s="1"/>
  <c r="AF223" i="1"/>
  <c r="AF233" i="1"/>
  <c r="AF315" i="1"/>
  <c r="AF180" i="1"/>
  <c r="AF296" i="1"/>
  <c r="AG65" i="2"/>
  <c r="AF138" i="1"/>
  <c r="AF176" i="1"/>
  <c r="AG87" i="1"/>
  <c r="AH87" i="1" s="1"/>
  <c r="AF109" i="1"/>
  <c r="AG273" i="1"/>
  <c r="AH273" i="1" s="1"/>
  <c r="AF94" i="1"/>
  <c r="AF237" i="1"/>
  <c r="AF77" i="1"/>
  <c r="AF301" i="1"/>
  <c r="AF293" i="1"/>
  <c r="AF183" i="1"/>
  <c r="AG182" i="1"/>
  <c r="AH182" i="1" s="1"/>
  <c r="AF161" i="1"/>
  <c r="AG161" i="1"/>
  <c r="AH161" i="1" s="1"/>
  <c r="AF145" i="1"/>
  <c r="AG145" i="1"/>
  <c r="AH145" i="1" s="1"/>
  <c r="AG186" i="1"/>
  <c r="AH186" i="1" s="1"/>
  <c r="AF228" i="1"/>
  <c r="AG25" i="2"/>
  <c r="AF147" i="1"/>
  <c r="AG113" i="1"/>
  <c r="AH113" i="1" s="1"/>
  <c r="AF254" i="1"/>
  <c r="AF299" i="1"/>
  <c r="AG135" i="1"/>
  <c r="AH135" i="1" s="1"/>
  <c r="AF135" i="1"/>
  <c r="AG249" i="1"/>
  <c r="AH249" i="1" s="1"/>
  <c r="AF249" i="1"/>
  <c r="AF187" i="1"/>
  <c r="AF224" i="1"/>
  <c r="AF310" i="1"/>
  <c r="AF222" i="1"/>
  <c r="AG287" i="1"/>
  <c r="AH287" i="1" s="1"/>
  <c r="AF121" i="1"/>
  <c r="AG121" i="1"/>
  <c r="AH121" i="1" s="1"/>
  <c r="AG230" i="1"/>
  <c r="AH230" i="1" s="1"/>
  <c r="AF329" i="1"/>
  <c r="AG333" i="1"/>
  <c r="AH333" i="1" s="1"/>
  <c r="AF212" i="1"/>
  <c r="AG132" i="1"/>
  <c r="AH132" i="1" s="1"/>
  <c r="AG118" i="1"/>
  <c r="AH118" i="1" s="1"/>
  <c r="AF253" i="1"/>
  <c r="AG226" i="1"/>
  <c r="AH226" i="1" s="1"/>
  <c r="AF148" i="1"/>
  <c r="AG143" i="1"/>
  <c r="AH143" i="1" s="1"/>
  <c r="AF219" i="1"/>
  <c r="AF309" i="1"/>
  <c r="AF307" i="1"/>
  <c r="AF352" i="1"/>
  <c r="AF289" i="1"/>
  <c r="AF330" i="1"/>
  <c r="AF311" i="1"/>
  <c r="AG26" i="2"/>
  <c r="AG279" i="1"/>
  <c r="AH279" i="1" s="1"/>
  <c r="AF303" i="1"/>
  <c r="AG65" i="1"/>
  <c r="AH65" i="1" s="1"/>
  <c r="AF325" i="1"/>
  <c r="AF341" i="1"/>
  <c r="AF360" i="1"/>
  <c r="AG60" i="1"/>
  <c r="AH60" i="1" s="1"/>
  <c r="AG45" i="2"/>
  <c r="AG59" i="1"/>
  <c r="AH59" i="1" s="1"/>
  <c r="AG124" i="2"/>
  <c r="AH36" i="2"/>
  <c r="AI36" i="2" s="1"/>
  <c r="AF68" i="1"/>
  <c r="AF64" i="1"/>
  <c r="AG118" i="2"/>
  <c r="AF314" i="1"/>
  <c r="AF78" i="1"/>
  <c r="AG73" i="1"/>
  <c r="AH73" i="1" s="1"/>
  <c r="AG97" i="2"/>
  <c r="AF70" i="1"/>
  <c r="AF44" i="1"/>
  <c r="AF306" i="1"/>
  <c r="AG306" i="1"/>
  <c r="AH306" i="1" s="1"/>
  <c r="AG12" i="2"/>
  <c r="AF62" i="1"/>
  <c r="AF335" i="1"/>
  <c r="AG83" i="2"/>
  <c r="AF319" i="1"/>
  <c r="AF42" i="1"/>
  <c r="AG324" i="1"/>
  <c r="AH324" i="1" s="1"/>
  <c r="AF43" i="1"/>
  <c r="AG313" i="1"/>
  <c r="AH313" i="1" s="1"/>
  <c r="AF313" i="1"/>
  <c r="AF320" i="1"/>
  <c r="AG320" i="1"/>
  <c r="AH320" i="1" s="1"/>
  <c r="AG331" i="1"/>
  <c r="AH331" i="1" s="1"/>
  <c r="AF331" i="1"/>
  <c r="AG69" i="1"/>
  <c r="AH69" i="1" s="1"/>
  <c r="AF69" i="1"/>
  <c r="AF334" i="1"/>
  <c r="AG334" i="1"/>
  <c r="AH334" i="1" s="1"/>
  <c r="AF312" i="1"/>
  <c r="AG312" i="1"/>
  <c r="AH312" i="1" s="1"/>
  <c r="AG328" i="1"/>
  <c r="AH328" i="1" s="1"/>
  <c r="AF328" i="1"/>
  <c r="AF344" i="1"/>
  <c r="AF326" i="1"/>
  <c r="AG326" i="1"/>
  <c r="AH326" i="1" s="1"/>
  <c r="AG128" i="2"/>
  <c r="AG49" i="1"/>
  <c r="AH49" i="1" s="1"/>
  <c r="AG317" i="1"/>
  <c r="AH317" i="1" s="1"/>
  <c r="AF317" i="1"/>
  <c r="AF321" i="1"/>
  <c r="AG321" i="1"/>
  <c r="AH321" i="1" s="1"/>
  <c r="AF327" i="1"/>
  <c r="AG327" i="1"/>
  <c r="AH327" i="1" s="1"/>
  <c r="AH94" i="2"/>
  <c r="AI94" i="2" s="1"/>
  <c r="AG94" i="2"/>
  <c r="AH69" i="2"/>
  <c r="AI69" i="2" s="1"/>
  <c r="AG69" i="2"/>
  <c r="AG346" i="1"/>
  <c r="AH346" i="1" s="1"/>
  <c r="AF346" i="1"/>
  <c r="AH41" i="2"/>
  <c r="AI41" i="2" s="1"/>
  <c r="AG41" i="2"/>
  <c r="AH79" i="2"/>
  <c r="AI79" i="2" s="1"/>
  <c r="AG79" i="2"/>
  <c r="AG19" i="2"/>
  <c r="AH19" i="2"/>
  <c r="AI19" i="2" s="1"/>
  <c r="AG96" i="2"/>
  <c r="AH96" i="2"/>
  <c r="AI96" i="2" s="1"/>
  <c r="AH108" i="2"/>
  <c r="AI108" i="2" s="1"/>
  <c r="AG108" i="2"/>
  <c r="AH109" i="2"/>
  <c r="AI109" i="2" s="1"/>
  <c r="AG109" i="2"/>
  <c r="AG361" i="1"/>
  <c r="AH361" i="1" s="1"/>
  <c r="AF361" i="1"/>
  <c r="AH35" i="2"/>
  <c r="AI35" i="2" s="1"/>
  <c r="AG35" i="2"/>
  <c r="AH57" i="2"/>
  <c r="AI57" i="2" s="1"/>
  <c r="AG57" i="2"/>
  <c r="AH104" i="2"/>
  <c r="AI104" i="2" s="1"/>
  <c r="AG104" i="2"/>
  <c r="AH111" i="2"/>
  <c r="AI111" i="2" s="1"/>
  <c r="AG111" i="2"/>
  <c r="AG351" i="1"/>
  <c r="AH351" i="1" s="1"/>
  <c r="AF351" i="1"/>
  <c r="AH50" i="2"/>
  <c r="AI50" i="2" s="1"/>
  <c r="AG50" i="2"/>
  <c r="AH60" i="2"/>
  <c r="AI60" i="2" s="1"/>
  <c r="AG60" i="2"/>
  <c r="AH70" i="2"/>
  <c r="AI70" i="2" s="1"/>
  <c r="AG70" i="2"/>
  <c r="AH105" i="2"/>
  <c r="AI105" i="2" s="1"/>
  <c r="AG105" i="2"/>
  <c r="AG286" i="1"/>
  <c r="AH286" i="1" s="1"/>
  <c r="AF286" i="1"/>
  <c r="AF66" i="1"/>
  <c r="AG66" i="1"/>
  <c r="AH66" i="1" s="1"/>
  <c r="AH13" i="2"/>
  <c r="AI13" i="2" s="1"/>
  <c r="AG13" i="2"/>
  <c r="AH77" i="2"/>
  <c r="AI77" i="2" s="1"/>
  <c r="AG77" i="2"/>
  <c r="AG122" i="2"/>
  <c r="AH122" i="2"/>
  <c r="AI122" i="2" s="1"/>
  <c r="AH100" i="2"/>
  <c r="AI100" i="2" s="1"/>
  <c r="AG100" i="2"/>
  <c r="AH40" i="2"/>
  <c r="AI40" i="2" s="1"/>
  <c r="AG40" i="2"/>
  <c r="AH81" i="2"/>
  <c r="AI81" i="2" s="1"/>
  <c r="AG81" i="2"/>
  <c r="AH32" i="2"/>
  <c r="AI32" i="2" s="1"/>
  <c r="AG32" i="2"/>
  <c r="AG61" i="1"/>
  <c r="AH61" i="1" s="1"/>
  <c r="AF61" i="1"/>
  <c r="AH121" i="2"/>
  <c r="AI121" i="2" s="1"/>
  <c r="AG121" i="2"/>
  <c r="AH117" i="2"/>
  <c r="AI117" i="2" s="1"/>
  <c r="AG117" i="2"/>
  <c r="AH102" i="2"/>
  <c r="AI102" i="2" s="1"/>
  <c r="AG102" i="2"/>
  <c r="AH7" i="2"/>
  <c r="AI7" i="2" s="1"/>
  <c r="AG7" i="2"/>
  <c r="AG283" i="1"/>
  <c r="AH283" i="1" s="1"/>
  <c r="AF283" i="1"/>
  <c r="AF50" i="1"/>
  <c r="AG50" i="1"/>
  <c r="AH50" i="1" s="1"/>
  <c r="AH5" i="2"/>
  <c r="AI5" i="2" s="1"/>
  <c r="AG5" i="2"/>
  <c r="AH15" i="2"/>
  <c r="AI15" i="2" s="1"/>
  <c r="AG15" i="2"/>
  <c r="AG347" i="1"/>
  <c r="AH347" i="1" s="1"/>
  <c r="AF347" i="1"/>
  <c r="AG112" i="2"/>
  <c r="AH112" i="2"/>
  <c r="AI112" i="2" s="1"/>
  <c r="AG43" i="2"/>
  <c r="AH43" i="2"/>
  <c r="AI43" i="2" s="1"/>
  <c r="AH126" i="2"/>
  <c r="AI126" i="2" s="1"/>
  <c r="AG126" i="2"/>
  <c r="AH84" i="2"/>
  <c r="AI84" i="2" s="1"/>
  <c r="AG84" i="2"/>
  <c r="AG345" i="1"/>
  <c r="AH345" i="1" s="1"/>
  <c r="AF345" i="1"/>
  <c r="AH66" i="2"/>
  <c r="AI66" i="2" s="1"/>
  <c r="AG66" i="2"/>
  <c r="AH52" i="2"/>
  <c r="AI52" i="2" s="1"/>
  <c r="AG52" i="2"/>
  <c r="AH23" i="2"/>
  <c r="AI23" i="2" s="1"/>
  <c r="AG23" i="2"/>
  <c r="AH17" i="2"/>
  <c r="AI17" i="2" s="1"/>
  <c r="AG17" i="2"/>
  <c r="AH67" i="2"/>
  <c r="AI67" i="2" s="1"/>
  <c r="AG67" i="2"/>
  <c r="AH55" i="2"/>
  <c r="AI55" i="2" s="1"/>
  <c r="AG55" i="2"/>
  <c r="AH88" i="2"/>
  <c r="AI88" i="2" s="1"/>
  <c r="AG88" i="2"/>
  <c r="AH27" i="2"/>
  <c r="AI27" i="2" s="1"/>
  <c r="AG27" i="2"/>
  <c r="AG285" i="1"/>
  <c r="AH285" i="1" s="1"/>
  <c r="AF285" i="1"/>
  <c r="AF46" i="1"/>
  <c r="AG46" i="1"/>
  <c r="AH46" i="1" s="1"/>
  <c r="AG359" i="1"/>
  <c r="AH359" i="1" s="1"/>
  <c r="AF359" i="1"/>
  <c r="AG355" i="1"/>
  <c r="AH355" i="1" s="1"/>
  <c r="AF355" i="1"/>
  <c r="AG353" i="1"/>
  <c r="AH353" i="1" s="1"/>
  <c r="AF353" i="1"/>
  <c r="AG343" i="1"/>
  <c r="AH343" i="1" s="1"/>
  <c r="AF343" i="1"/>
  <c r="AH24" i="2"/>
  <c r="AI24" i="2" s="1"/>
  <c r="AG24" i="2"/>
  <c r="AH28" i="2"/>
  <c r="AI28" i="2" s="1"/>
  <c r="AG28" i="2"/>
  <c r="AG339" i="1"/>
  <c r="AH339" i="1" s="1"/>
  <c r="AF339" i="1"/>
  <c r="AG119" i="2"/>
  <c r="AH119" i="2"/>
  <c r="AI119" i="2" s="1"/>
  <c r="AF358" i="1"/>
  <c r="AG358" i="1"/>
  <c r="AH358" i="1" s="1"/>
  <c r="AH75" i="2"/>
  <c r="AI75" i="2" s="1"/>
  <c r="AG75" i="2"/>
  <c r="AH98" i="2"/>
  <c r="AI98" i="2" s="1"/>
  <c r="AG98" i="2"/>
  <c r="AH10" i="2"/>
  <c r="AI10" i="2" s="1"/>
  <c r="AG10" i="2"/>
  <c r="AH101" i="2"/>
  <c r="AI101" i="2" s="1"/>
  <c r="AG101" i="2"/>
  <c r="AH51" i="2"/>
  <c r="AI51" i="2" s="1"/>
  <c r="AG51" i="2"/>
  <c r="AH16" i="2"/>
  <c r="AI16" i="2" s="1"/>
  <c r="AG16" i="2"/>
  <c r="AH58" i="2"/>
  <c r="AI58" i="2" s="1"/>
  <c r="AG58" i="2"/>
  <c r="AH48" i="2"/>
  <c r="AI48" i="2" s="1"/>
  <c r="AG48" i="2"/>
  <c r="AH78" i="2"/>
  <c r="AI78" i="2" s="1"/>
  <c r="AG78" i="2"/>
  <c r="AH38" i="2"/>
  <c r="AI38" i="2" s="1"/>
  <c r="AG38" i="2"/>
  <c r="AH61" i="2"/>
  <c r="AI61" i="2" s="1"/>
  <c r="AG61" i="2"/>
  <c r="AG284" i="1"/>
  <c r="AH284" i="1" s="1"/>
  <c r="AF284" i="1"/>
  <c r="AG356" i="1"/>
  <c r="AH356" i="1" s="1"/>
  <c r="AF356" i="1"/>
  <c r="AH72" i="2"/>
  <c r="AI72" i="2" s="1"/>
  <c r="AG72" i="2"/>
  <c r="AH56" i="2"/>
  <c r="AI56" i="2" s="1"/>
  <c r="AG56" i="2"/>
  <c r="AH8" i="2"/>
  <c r="AI8" i="2" s="1"/>
  <c r="AG8" i="2"/>
  <c r="AH29" i="2"/>
  <c r="AI29" i="2" s="1"/>
  <c r="AG29" i="2"/>
  <c r="AH103" i="2"/>
  <c r="AI103" i="2" s="1"/>
  <c r="AG103" i="2"/>
  <c r="AH68" i="2"/>
  <c r="AI68" i="2" s="1"/>
  <c r="AG68" i="2"/>
  <c r="AH125" i="2"/>
  <c r="AI125" i="2" s="1"/>
  <c r="AG300" i="1"/>
  <c r="AH300" i="1" s="1"/>
  <c r="AF300" i="1"/>
  <c r="AG75" i="1"/>
  <c r="AH75" i="1" s="1"/>
  <c r="AF75" i="1"/>
  <c r="AH3" i="2"/>
  <c r="AI3" i="2" s="1"/>
  <c r="AG3" i="2"/>
  <c r="AG82" i="2"/>
  <c r="AH82" i="2"/>
  <c r="AI82" i="2" s="1"/>
  <c r="AH74" i="2"/>
  <c r="AI74" i="2" s="1"/>
  <c r="AG74" i="2"/>
  <c r="AH120" i="2"/>
  <c r="AI120" i="2" s="1"/>
  <c r="AG120" i="2"/>
  <c r="AH64" i="2"/>
  <c r="AI64" i="2" s="1"/>
  <c r="AG64" i="2"/>
  <c r="AH42" i="2"/>
  <c r="AI42" i="2" s="1"/>
  <c r="AG42" i="2"/>
  <c r="AH110" i="2"/>
  <c r="AI110" i="2" s="1"/>
  <c r="AG110" i="2"/>
  <c r="AG14" i="2"/>
  <c r="AH14" i="2"/>
  <c r="AI14" i="2" s="1"/>
  <c r="AH6" i="2"/>
  <c r="AI6" i="2" s="1"/>
  <c r="AG6" i="2"/>
  <c r="AH73" i="2"/>
  <c r="AI73" i="2" s="1"/>
  <c r="AG73" i="2"/>
  <c r="AH115" i="2"/>
  <c r="AI115" i="2" s="1"/>
  <c r="AG115" i="2"/>
  <c r="AG89" i="2"/>
  <c r="AH89" i="2"/>
  <c r="AI89" i="2" s="1"/>
  <c r="AG62" i="2"/>
  <c r="AH62" i="2"/>
  <c r="AI62" i="2" s="1"/>
  <c r="AF342" i="1"/>
  <c r="AG342" i="1"/>
  <c r="AH342" i="1" s="1"/>
  <c r="AH90" i="2"/>
  <c r="AI90" i="2" s="1"/>
  <c r="AG90" i="2"/>
  <c r="AH21" i="2"/>
  <c r="AI21" i="2" s="1"/>
  <c r="AG21" i="2"/>
  <c r="AH99" i="2"/>
  <c r="AI99" i="2" s="1"/>
  <c r="AG99" i="2"/>
  <c r="AG348" i="1"/>
  <c r="AH348" i="1" s="1"/>
  <c r="AF348" i="1"/>
  <c r="AH123" i="2"/>
  <c r="AI123" i="2" s="1"/>
  <c r="AG123" i="2"/>
  <c r="AH80" i="2"/>
  <c r="AI80" i="2" s="1"/>
  <c r="AG80" i="2"/>
  <c r="AH4" i="2"/>
  <c r="AI4" i="2" s="1"/>
  <c r="AG4" i="2"/>
  <c r="AH39" i="2"/>
  <c r="AI39" i="2" s="1"/>
  <c r="AG39" i="2"/>
  <c r="AG354" i="1"/>
  <c r="AH354" i="1" s="1"/>
  <c r="AF354" i="1"/>
  <c r="AH76" i="2"/>
  <c r="AI76" i="2" s="1"/>
  <c r="AG76" i="2"/>
  <c r="AH30" i="2"/>
  <c r="AI30" i="2" s="1"/>
  <c r="AG30" i="2"/>
  <c r="AG338" i="1"/>
  <c r="AH338" i="1" s="1"/>
  <c r="AF338" i="1"/>
  <c r="AG37" i="2"/>
  <c r="AH37" i="2"/>
  <c r="AI37" i="2" s="1"/>
  <c r="AH93" i="2"/>
  <c r="AI93" i="2" s="1"/>
  <c r="AG93" i="2"/>
  <c r="AH49" i="2"/>
  <c r="AI49" i="2" s="1"/>
  <c r="AG49" i="2"/>
  <c r="AG63" i="1"/>
  <c r="AH63" i="1" s="1"/>
  <c r="AF63" i="1"/>
  <c r="AG67" i="1"/>
  <c r="AH67" i="1" s="1"/>
  <c r="AF67" i="1"/>
  <c r="AH71" i="2"/>
  <c r="AI71" i="2" s="1"/>
  <c r="AG71" i="2"/>
  <c r="AG53" i="2"/>
  <c r="AH53" i="2"/>
  <c r="AI53" i="2" s="1"/>
  <c r="AH95" i="2"/>
  <c r="AI95" i="2" s="1"/>
  <c r="AG95" i="2"/>
  <c r="AH87" i="2"/>
  <c r="AI87" i="2" s="1"/>
  <c r="AG87" i="2"/>
  <c r="AG127" i="2"/>
  <c r="AH127" i="2"/>
  <c r="AI127" i="2" s="1"/>
  <c r="AF350" i="1"/>
  <c r="AG350" i="1"/>
  <c r="AH350" i="1" s="1"/>
  <c r="AH106" i="2"/>
  <c r="AI106" i="2" s="1"/>
  <c r="AG106" i="2"/>
  <c r="AH59" i="2"/>
  <c r="AI59" i="2" s="1"/>
  <c r="AG59" i="2"/>
  <c r="AH63" i="2"/>
  <c r="AI63" i="2" s="1"/>
  <c r="AG63" i="2"/>
  <c r="AH113" i="2"/>
  <c r="AI113" i="2" s="1"/>
  <c r="AG113" i="2"/>
  <c r="AH114" i="2"/>
  <c r="AI114" i="2" s="1"/>
  <c r="AG114" i="2"/>
  <c r="AG20" i="2"/>
  <c r="AH20" i="2"/>
  <c r="AI20" i="2" s="1"/>
  <c r="AG116" i="2"/>
  <c r="AH116" i="2"/>
  <c r="AI116" i="2" s="1"/>
  <c r="AH86" i="2"/>
  <c r="AI86" i="2" s="1"/>
  <c r="AG86" i="2"/>
  <c r="AH54" i="2"/>
  <c r="AI54" i="2" s="1"/>
  <c r="AG54" i="2"/>
  <c r="AH107" i="2"/>
  <c r="AI107" i="2" s="1"/>
  <c r="AG107" i="2"/>
  <c r="AH31" i="2"/>
  <c r="AI31" i="2" s="1"/>
  <c r="AG31" i="2"/>
  <c r="AG340" i="1"/>
  <c r="AH340" i="1" s="1"/>
  <c r="AF340" i="1"/>
  <c r="AH85" i="2"/>
  <c r="AI85" i="2" s="1"/>
  <c r="AG85" i="2"/>
  <c r="AH92" i="2"/>
  <c r="AI92" i="2" s="1"/>
  <c r="AG92" i="2"/>
  <c r="AH22" i="2"/>
  <c r="AI22" i="2" s="1"/>
  <c r="AG22" i="2"/>
  <c r="AH18" i="2"/>
  <c r="AI18" i="2" s="1"/>
  <c r="AG18" i="2"/>
  <c r="AH34" i="2"/>
  <c r="AI34" i="2" s="1"/>
  <c r="AG34" i="2"/>
  <c r="AH46" i="2"/>
  <c r="AI46" i="2" s="1"/>
  <c r="AG46" i="2"/>
  <c r="AG337" i="1"/>
  <c r="AH337" i="1" s="1"/>
  <c r="AF337" i="1"/>
</calcChain>
</file>

<file path=xl/sharedStrings.xml><?xml version="1.0" encoding="utf-8"?>
<sst xmlns="http://schemas.openxmlformats.org/spreadsheetml/2006/main" count="8504" uniqueCount="4136">
  <si>
    <t>date.</t>
  </si>
  <si>
    <t>구분</t>
  </si>
  <si>
    <t>사번</t>
  </si>
  <si>
    <t>이름</t>
  </si>
  <si>
    <t>직책</t>
  </si>
  <si>
    <t>소속</t>
  </si>
  <si>
    <t>부서</t>
  </si>
  <si>
    <t>주민등록번호</t>
  </si>
  <si>
    <t>입사일</t>
  </si>
  <si>
    <t>최근승진</t>
  </si>
  <si>
    <t>퇴사일</t>
  </si>
  <si>
    <t>학력</t>
  </si>
  <si>
    <t>학교</t>
  </si>
  <si>
    <t>전공</t>
  </si>
  <si>
    <t>학위</t>
  </si>
  <si>
    <t>자격증1</t>
  </si>
  <si>
    <t>합격일</t>
  </si>
  <si>
    <t>자격증2</t>
  </si>
  <si>
    <t>자격증3</t>
  </si>
  <si>
    <t>경력등급</t>
  </si>
  <si>
    <t>경력증</t>
  </si>
  <si>
    <t>취득일</t>
  </si>
  <si>
    <t>자격증기준등급</t>
  </si>
  <si>
    <t>전직장경력합계</t>
  </si>
  <si>
    <t>전직장경력년수</t>
  </si>
  <si>
    <t>근속합계</t>
  </si>
  <si>
    <t>근속년수</t>
  </si>
  <si>
    <t>총경력합</t>
  </si>
  <si>
    <t>총경력년수</t>
  </si>
  <si>
    <t>집주소</t>
  </si>
  <si>
    <t>핸드폰</t>
  </si>
  <si>
    <t>e-mail</t>
  </si>
  <si>
    <t>2</t>
  </si>
  <si>
    <t>김정태</t>
  </si>
  <si>
    <t>차장</t>
  </si>
  <si>
    <t>플랫폼 사업본부</t>
  </si>
  <si>
    <t>중</t>
  </si>
  <si>
    <t>0년 0개월</t>
  </si>
  <si>
    <t>1년 5개월</t>
  </si>
  <si>
    <t>경기도 광명시 하안2동 하안주공아파트 312동 504호</t>
  </si>
  <si>
    <t>010-7204-2885</t>
  </si>
  <si>
    <t>njlee@in-soft.co.kr</t>
  </si>
  <si>
    <t>3</t>
  </si>
  <si>
    <t>박진형</t>
  </si>
  <si>
    <t>대리</t>
  </si>
  <si>
    <t>2년 1개월</t>
  </si>
  <si>
    <t>서울시 송파구 문정동 121-13 지영하우스 302호</t>
  </si>
  <si>
    <t>010-6365-7859</t>
  </si>
  <si>
    <t>yyyoon@in-soft.co.kr</t>
  </si>
  <si>
    <t>4</t>
  </si>
  <si>
    <t>김제연</t>
  </si>
  <si>
    <t>사원</t>
  </si>
  <si>
    <t>클라우드 사업본부</t>
  </si>
  <si>
    <t>2011년 7월</t>
  </si>
  <si>
    <t>고</t>
  </si>
  <si>
    <t>2년 5개월</t>
  </si>
  <si>
    <t>경기도 남양주시 화도읍 녹촌리 녹촌두산위브아파트 104-1104</t>
  </si>
  <si>
    <t>010-3718-9184</t>
  </si>
  <si>
    <t>yihong@in-soft.co.kr</t>
  </si>
  <si>
    <t>5</t>
  </si>
  <si>
    <t>신동창</t>
  </si>
  <si>
    <t>Ubicom 연구소</t>
  </si>
  <si>
    <t>초</t>
  </si>
  <si>
    <t>서울시 도봉구 방학동 649-39번지 5층</t>
  </si>
  <si>
    <t>010-6864-0073</t>
  </si>
  <si>
    <t>shsung@in-soft.co.kr</t>
  </si>
  <si>
    <t>6</t>
  </si>
  <si>
    <t>송정윤</t>
  </si>
  <si>
    <t>1년 11개월</t>
  </si>
  <si>
    <t>경기도 하남시 신장동 백송한신아파트 103동 1511호</t>
  </si>
  <si>
    <t>010-5011-7269</t>
  </si>
  <si>
    <t>smlee@in-soft.co.kr</t>
  </si>
  <si>
    <t>7</t>
  </si>
  <si>
    <t>송보근</t>
  </si>
  <si>
    <t>CSBU</t>
  </si>
  <si>
    <t>2012년 7월</t>
  </si>
  <si>
    <t>7년 8개월</t>
  </si>
  <si>
    <t>경기도 의정부시 신곡1동 풍림아파트 603동 802호</t>
  </si>
  <si>
    <t>010-6247-3959</t>
  </si>
  <si>
    <t>jhcho@in-soft.co.kr</t>
  </si>
  <si>
    <t>8</t>
  </si>
  <si>
    <t>박선용</t>
  </si>
  <si>
    <t>5년 3개월</t>
  </si>
  <si>
    <t>경기도 김포시 통진읍 마송리 마송휴먼시아 매수리마을 902-803</t>
  </si>
  <si>
    <t>010-6410-5450</t>
  </si>
  <si>
    <t>mhlee@in-soft.co.kr</t>
  </si>
  <si>
    <t>9</t>
  </si>
  <si>
    <t>이승준</t>
  </si>
  <si>
    <t>과장</t>
  </si>
  <si>
    <t>4년 2개월</t>
  </si>
  <si>
    <t>경기도 부천시 소사구 송내동 327-2 성호아파트 102동 106호</t>
  </si>
  <si>
    <t>010-3244-2434</t>
  </si>
  <si>
    <t>10</t>
  </si>
  <si>
    <t>이정환</t>
  </si>
  <si>
    <t>3년 2개월</t>
  </si>
  <si>
    <t>경기도 평택시 청북면 어연리 262-1</t>
  </si>
  <si>
    <t>010-6298-3217</t>
  </si>
  <si>
    <t>11</t>
  </si>
  <si>
    <t>정성수</t>
  </si>
  <si>
    <t>3년 0개월</t>
  </si>
  <si>
    <t>12</t>
  </si>
  <si>
    <t>전영세</t>
  </si>
  <si>
    <t>4년 11개월</t>
  </si>
  <si>
    <t>13</t>
  </si>
  <si>
    <t>강복구</t>
  </si>
  <si>
    <t>4년 8개월</t>
  </si>
  <si>
    <t>14</t>
  </si>
  <si>
    <t>최기범</t>
  </si>
  <si>
    <t>1년 10개월</t>
  </si>
  <si>
    <t>15</t>
  </si>
  <si>
    <t>정준영</t>
  </si>
  <si>
    <t>2년 9개월</t>
  </si>
  <si>
    <t>16</t>
  </si>
  <si>
    <t>남태규</t>
  </si>
  <si>
    <t>솔루션 사업부</t>
  </si>
  <si>
    <t>17</t>
  </si>
  <si>
    <t>임옥하</t>
  </si>
  <si>
    <t>2년 6개월</t>
  </si>
  <si>
    <t>18</t>
  </si>
  <si>
    <t>변기웅</t>
  </si>
  <si>
    <t>영업팀</t>
  </si>
  <si>
    <t>1년 4개월</t>
  </si>
  <si>
    <t>1</t>
  </si>
  <si>
    <t>윤지선</t>
  </si>
  <si>
    <t>PS팀</t>
  </si>
  <si>
    <t>4년 4개월</t>
  </si>
  <si>
    <t>경기도 고양시 일산동구 중산동 25-12</t>
  </si>
  <si>
    <t>010-2515-0116</t>
  </si>
  <si>
    <t>dklee@in-soft.co.kr</t>
  </si>
  <si>
    <t>19</t>
  </si>
  <si>
    <t>박준희</t>
  </si>
  <si>
    <t>0년 11개월</t>
  </si>
  <si>
    <t>20</t>
  </si>
  <si>
    <t>김민석</t>
  </si>
  <si>
    <t>21</t>
  </si>
  <si>
    <t>장현우</t>
  </si>
  <si>
    <t>0년 8개월</t>
  </si>
  <si>
    <t>22</t>
  </si>
  <si>
    <t>이왕진</t>
  </si>
  <si>
    <t>이사</t>
  </si>
  <si>
    <t>8년 3개월</t>
  </si>
  <si>
    <t>23</t>
  </si>
  <si>
    <t>120301</t>
  </si>
  <si>
    <t>조성진</t>
  </si>
  <si>
    <t>PS 팀</t>
  </si>
  <si>
    <t>821224-1226718</t>
  </si>
  <si>
    <t>전문대</t>
  </si>
  <si>
    <t>0년 9개월</t>
  </si>
  <si>
    <t>24</t>
  </si>
  <si>
    <t>111101</t>
  </si>
  <si>
    <t>이재철</t>
  </si>
  <si>
    <t>P A G</t>
  </si>
  <si>
    <t>730217-1182811</t>
  </si>
  <si>
    <t>일반대</t>
  </si>
  <si>
    <t>1년 1개월</t>
  </si>
  <si>
    <t>25</t>
  </si>
  <si>
    <t>111204</t>
  </si>
  <si>
    <t>이민현</t>
  </si>
  <si>
    <t>820517-1463111</t>
  </si>
  <si>
    <t>1년 0개월</t>
  </si>
  <si>
    <t>26</t>
  </si>
  <si>
    <t>110801</t>
  </si>
  <si>
    <t>조정현</t>
  </si>
  <si>
    <t>800315-1405519</t>
  </si>
  <si>
    <t>27</t>
  </si>
  <si>
    <t>100502</t>
  </si>
  <si>
    <t>윤용열</t>
  </si>
  <si>
    <t>731215-1037911</t>
  </si>
  <si>
    <t>2년 7개월</t>
  </si>
  <si>
    <t>28</t>
  </si>
  <si>
    <t>100802</t>
  </si>
  <si>
    <t>홍영일</t>
  </si>
  <si>
    <t>팀장</t>
  </si>
  <si>
    <t>710814-1068926</t>
  </si>
  <si>
    <t>2년 4개월</t>
  </si>
  <si>
    <t>29</t>
  </si>
  <si>
    <t>110103</t>
  </si>
  <si>
    <t>성세현</t>
  </si>
  <si>
    <t>840515-1032717</t>
  </si>
  <si>
    <t>30</t>
  </si>
  <si>
    <t>110202</t>
  </si>
  <si>
    <t>이수민</t>
  </si>
  <si>
    <t>850831-1237528</t>
  </si>
  <si>
    <t>31</t>
  </si>
  <si>
    <t>110105</t>
  </si>
  <si>
    <t>이동기</t>
  </si>
  <si>
    <t>820815-1063711</t>
  </si>
  <si>
    <t>32</t>
  </si>
  <si>
    <t>120405</t>
  </si>
  <si>
    <t>이난정</t>
  </si>
  <si>
    <t>851124-2902319</t>
  </si>
  <si>
    <t>73</t>
  </si>
  <si>
    <t>120404</t>
  </si>
  <si>
    <t>개발</t>
  </si>
  <si>
    <t>정성신</t>
  </si>
  <si>
    <t>731204-1406310</t>
  </si>
  <si>
    <t>대학원</t>
  </si>
  <si>
    <t>광운대학교</t>
  </si>
  <si>
    <t>석사</t>
  </si>
  <si>
    <t>특급</t>
  </si>
  <si>
    <t>무</t>
  </si>
  <si>
    <t>경기도 성남시 분당구 야탑동 매화마을 312동 501호</t>
  </si>
  <si>
    <t>010-5006-5298</t>
  </si>
  <si>
    <t>ssjung@in-soft.co.kr</t>
  </si>
  <si>
    <t>50</t>
  </si>
  <si>
    <t>110903</t>
  </si>
  <si>
    <t>백승욱</t>
  </si>
  <si>
    <t>831127-1079613</t>
  </si>
  <si>
    <t>전남대학교</t>
  </si>
  <si>
    <t>학사</t>
  </si>
  <si>
    <t>초급</t>
  </si>
  <si>
    <t>유</t>
  </si>
  <si>
    <t>1년 3개월</t>
  </si>
  <si>
    <t>서울시 강동구 천호1동 49-39 경원빌라 101호</t>
  </si>
  <si>
    <t>010-9116-8781</t>
  </si>
  <si>
    <t>subaek@in-soft.co.kr</t>
  </si>
  <si>
    <t>37</t>
  </si>
  <si>
    <t>101208</t>
  </si>
  <si>
    <t>안경배</t>
  </si>
  <si>
    <t>800709-1231310</t>
  </si>
  <si>
    <t>우석대학교</t>
  </si>
  <si>
    <t>경기도 군포시 당동 동아아파트 106-303</t>
  </si>
  <si>
    <t>010-4711-3779</t>
  </si>
  <si>
    <t>kban@in-soft.co.kr</t>
  </si>
  <si>
    <t>70</t>
  </si>
  <si>
    <t>120401</t>
  </si>
  <si>
    <t>비개발</t>
  </si>
  <si>
    <t>오진석</t>
  </si>
  <si>
    <t>부장</t>
  </si>
  <si>
    <t>680825-1041615</t>
  </si>
  <si>
    <t>고급</t>
  </si>
  <si>
    <t>010-3239-3630</t>
  </si>
  <si>
    <t>jsoh@in-soft.co.kr</t>
  </si>
  <si>
    <t>42</t>
  </si>
  <si>
    <t>110402</t>
  </si>
  <si>
    <t>문정식</t>
  </si>
  <si>
    <t>그룹장</t>
  </si>
  <si>
    <t>사업개발2본부</t>
  </si>
  <si>
    <t>CMG</t>
  </si>
  <si>
    <t>731216-1411313</t>
  </si>
  <si>
    <t>충남대학교</t>
  </si>
  <si>
    <t>재료공학</t>
  </si>
  <si>
    <t>서울시 동대문구 장안동 장안현대홈타운 112동 404호</t>
  </si>
  <si>
    <t>010-2723-7224</t>
  </si>
  <si>
    <t>jsmoon@in-soft.co.kr</t>
  </si>
  <si>
    <t>080203</t>
  </si>
  <si>
    <t>유현석</t>
  </si>
  <si>
    <t>사업개발1본부</t>
  </si>
  <si>
    <t>681114-1055410</t>
  </si>
  <si>
    <t>Univ.Southern California</t>
  </si>
  <si>
    <t>전산</t>
  </si>
  <si>
    <t>111202</t>
  </si>
  <si>
    <t>김규호</t>
  </si>
  <si>
    <t>CPG</t>
  </si>
  <si>
    <t>860228-1020814</t>
  </si>
  <si>
    <t>한성대학교</t>
  </si>
  <si>
    <t>서울시 중랑구 면목동 99-8호</t>
  </si>
  <si>
    <t>010-4449-3431</t>
  </si>
  <si>
    <t>khkim@in-soft.co.kr</t>
  </si>
  <si>
    <t>080601</t>
  </si>
  <si>
    <t>김범수</t>
  </si>
  <si>
    <t>840904-1063211</t>
  </si>
  <si>
    <t>2012년 1월</t>
  </si>
  <si>
    <t>동서울대학</t>
  </si>
  <si>
    <t>컴퓨터정보</t>
  </si>
  <si>
    <t>전문</t>
  </si>
  <si>
    <t>서울시 강동구 명일동 삼익그린1차아파트 102동 1209호</t>
  </si>
  <si>
    <t>010-8943-3109</t>
  </si>
  <si>
    <t>kbskbs48@in-soft.co.kr</t>
  </si>
  <si>
    <t>070901</t>
  </si>
  <si>
    <t>정영남</t>
  </si>
  <si>
    <t>CEG</t>
  </si>
  <si>
    <t>790620-2397711</t>
  </si>
  <si>
    <t>충북대학교</t>
  </si>
  <si>
    <t>수학</t>
  </si>
  <si>
    <t>정보처리기사</t>
  </si>
  <si>
    <t>중급</t>
  </si>
  <si>
    <t>서울 강남구 개포동 1184-18 은혜빌리지 301호</t>
  </si>
  <si>
    <t>010-2800-0999</t>
  </si>
  <si>
    <t>ynstar@in-soft.co.kr</t>
  </si>
  <si>
    <t>68</t>
  </si>
  <si>
    <t>120702</t>
  </si>
  <si>
    <t>차재성</t>
  </si>
  <si>
    <t>연구원</t>
  </si>
  <si>
    <t>UbiCom 연구실</t>
  </si>
  <si>
    <t>R&amp;D_1그룹</t>
  </si>
  <si>
    <t>851118-1403816</t>
  </si>
  <si>
    <t>대전보건대학</t>
  </si>
  <si>
    <t>컴퓨터정보통신</t>
  </si>
  <si>
    <t>서울특별시 영등포구 문래동 3가 83-5번지 호성빌딩 301호</t>
  </si>
  <si>
    <t>010-9198-7336</t>
  </si>
  <si>
    <t>jscha@in-soft.co.kr</t>
  </si>
  <si>
    <t>69</t>
  </si>
  <si>
    <t>120703</t>
  </si>
  <si>
    <t>박신로</t>
  </si>
  <si>
    <t>800517-1041513</t>
  </si>
  <si>
    <t>청강문화산업대학</t>
  </si>
  <si>
    <t>컴퓨터소프트웨어학과</t>
  </si>
  <si>
    <t>서울시 서대문구 창천동 300번지 2층</t>
  </si>
  <si>
    <t>010-3263-4421</t>
  </si>
  <si>
    <t>srpark@in-soft.co.kr</t>
  </si>
  <si>
    <t>71</t>
  </si>
  <si>
    <t>120802</t>
  </si>
  <si>
    <t>정인국</t>
  </si>
  <si>
    <t>전임</t>
  </si>
  <si>
    <t>Ubicom 연구실</t>
  </si>
  <si>
    <t>R&amp;D_2그룹</t>
  </si>
  <si>
    <t>840221-1063211</t>
  </si>
  <si>
    <t>안양과학대학</t>
  </si>
  <si>
    <t>웹마스터학과</t>
  </si>
  <si>
    <t>서울시 강서구 등촌3동 주공 아파트 901동 502호</t>
  </si>
  <si>
    <t>010-6329-4637</t>
  </si>
  <si>
    <t>ikjung@in-soft.co.kr</t>
  </si>
  <si>
    <t>081102</t>
  </si>
  <si>
    <t>조형진</t>
  </si>
  <si>
    <t>솔루션사업개발본부</t>
  </si>
  <si>
    <t>클라우드솔루션그룹</t>
  </si>
  <si>
    <t>750401-1537910</t>
  </si>
  <si>
    <t>숭실대학교</t>
  </si>
  <si>
    <t>컴퓨터학과</t>
  </si>
  <si>
    <t>서울시 관악구 신림로54길 34 (신림동) 501호</t>
  </si>
  <si>
    <t>010-3919-1496</t>
  </si>
  <si>
    <t>hyungjin@in-soft.co.kr</t>
  </si>
  <si>
    <t>020103</t>
  </si>
  <si>
    <t>조미행</t>
  </si>
  <si>
    <t>통합서비스그룹</t>
  </si>
  <si>
    <t>760703-2094815</t>
  </si>
  <si>
    <t>한양사이버대학교</t>
  </si>
  <si>
    <t>서울시 강남구 논현동 107-44 우민APT 510호</t>
  </si>
  <si>
    <t>017-260-4650</t>
  </si>
  <si>
    <t>angi0703@in-soft.co.kr</t>
  </si>
  <si>
    <t>54</t>
  </si>
  <si>
    <t>120201</t>
  </si>
  <si>
    <t>김지수</t>
  </si>
  <si>
    <t>TSO</t>
  </si>
  <si>
    <t>911231-2020216</t>
  </si>
  <si>
    <t>삼육보건대학</t>
  </si>
  <si>
    <t>의료정보시스팀</t>
  </si>
  <si>
    <t>서울시 동작구 대방동 한국아파트 101동 502호</t>
  </si>
  <si>
    <t>010-9163-2879</t>
  </si>
  <si>
    <t>jskim@in-soft.co.kr</t>
  </si>
  <si>
    <t>43</t>
  </si>
  <si>
    <t>111102</t>
  </si>
  <si>
    <t>박지원</t>
  </si>
  <si>
    <t>780310-1409018</t>
  </si>
  <si>
    <t>대덕대학</t>
  </si>
  <si>
    <t>전자상거래</t>
  </si>
  <si>
    <t>서울시 강서구 염창동 304 이너스내안에5차 동진아파트 603호</t>
  </si>
  <si>
    <t>010-6456-7435</t>
  </si>
  <si>
    <t>jwpark@in-soft.co.kr</t>
  </si>
  <si>
    <t>61</t>
  </si>
  <si>
    <t>120403</t>
  </si>
  <si>
    <t>김재훈</t>
  </si>
  <si>
    <t>선임</t>
  </si>
  <si>
    <t>770830-1100133</t>
  </si>
  <si>
    <t>한국방송통신대학교</t>
  </si>
  <si>
    <t>서울시 관악구 신림동 1432-151 원오피스텔 203호</t>
  </si>
  <si>
    <t>010-4945-6160</t>
  </si>
  <si>
    <t>jaehoonkim@in-soft.co.kr</t>
  </si>
  <si>
    <t>80</t>
  </si>
  <si>
    <t>주진호</t>
  </si>
  <si>
    <t>금융사업팀</t>
  </si>
  <si>
    <t>680227-1820910</t>
  </si>
  <si>
    <t xml:space="preserve">고려대학교 </t>
  </si>
  <si>
    <t>산림자원학과</t>
  </si>
  <si>
    <t>경기도 용인시 기흥구 마북동 동양파라곤101-1601</t>
  </si>
  <si>
    <t>010-5166-9908</t>
  </si>
  <si>
    <t>jhju@in-soft.co.kr</t>
  </si>
  <si>
    <t>100703</t>
  </si>
  <si>
    <t>김영주A</t>
  </si>
  <si>
    <t>데이터서비스그룹</t>
  </si>
  <si>
    <t>821016-1559914</t>
  </si>
  <si>
    <t>동신대학교</t>
  </si>
  <si>
    <t>멀티미디어컨텐츠</t>
  </si>
  <si>
    <t>서울시 구로구 구로동 1130-14번지 대진월드타워 A동 309호</t>
  </si>
  <si>
    <t>010-8506-4516</t>
  </si>
  <si>
    <t>kyjinsoft@in-soft.co.kr</t>
  </si>
  <si>
    <t>51</t>
  </si>
  <si>
    <t>120202</t>
  </si>
  <si>
    <t>이정인</t>
  </si>
  <si>
    <t>900824-2227814</t>
  </si>
  <si>
    <t>용인송담대학</t>
  </si>
  <si>
    <t>경기도 남양주시 화도읍 가곡리 167-8</t>
  </si>
  <si>
    <t>010-9137-9291</t>
  </si>
  <si>
    <t>jilee@in-soft.co.kr</t>
  </si>
  <si>
    <t>090801</t>
  </si>
  <si>
    <t>최종하</t>
  </si>
  <si>
    <t>760910-1812421</t>
  </si>
  <si>
    <t>동양대학</t>
  </si>
  <si>
    <t>전자공학</t>
  </si>
  <si>
    <t>서울시 송파구 석촌동 273-20번지 102동 401호</t>
  </si>
  <si>
    <t>010-9881-4680</t>
  </si>
  <si>
    <t>jhchoi@in-soft.co.kr</t>
  </si>
  <si>
    <t>100501</t>
  </si>
  <si>
    <t>권현신</t>
  </si>
  <si>
    <t>디자인</t>
  </si>
  <si>
    <t>760226-2815013</t>
  </si>
  <si>
    <t>경동정보대학</t>
  </si>
  <si>
    <t>전산정보처리</t>
  </si>
  <si>
    <t>서울 관악구 봉천동 44-8 로하스빌 806호</t>
  </si>
  <si>
    <t>010-2319-8981</t>
  </si>
  <si>
    <t>hskwon@in-soft.co.kr</t>
  </si>
  <si>
    <t>강민호</t>
  </si>
  <si>
    <t>810905-1030911</t>
  </si>
  <si>
    <t>컴퓨터학부</t>
  </si>
  <si>
    <t>정보처리산업기사</t>
  </si>
  <si>
    <t>서울시 동대문구 이문동 264-211 완후빌딩 4층</t>
  </si>
  <si>
    <t>010-9911-4442</t>
  </si>
  <si>
    <t>mhkang@in-soft.co.kr</t>
  </si>
  <si>
    <t>080101</t>
  </si>
  <si>
    <t>시지호</t>
  </si>
  <si>
    <t>800315-1036610</t>
  </si>
  <si>
    <t>성결대학교</t>
  </si>
  <si>
    <t>정보통신공학</t>
  </si>
  <si>
    <t>서울시 서대문구 북아현2동 두산아파트 106동 403호</t>
  </si>
  <si>
    <t>010-2052-6090</t>
  </si>
  <si>
    <t>jiho@in-soft.co.kr</t>
  </si>
  <si>
    <t>070301</t>
  </si>
  <si>
    <t>이주형</t>
  </si>
  <si>
    <t>730610-1455116</t>
  </si>
  <si>
    <t>건국대학교</t>
  </si>
  <si>
    <t>정보처리기사1급</t>
  </si>
  <si>
    <t>수원시 팔달구 화서동 250-4 화서블루밍푸른숲아파트 101동 203호</t>
  </si>
  <si>
    <t>010-4015-7358</t>
  </si>
  <si>
    <t>loveljh@in-soft.co.kr</t>
  </si>
  <si>
    <t>46</t>
  </si>
  <si>
    <t>120106</t>
  </si>
  <si>
    <t>김영태</t>
  </si>
  <si>
    <t>810620-1233216</t>
  </si>
  <si>
    <t>인덕전문대학</t>
  </si>
  <si>
    <t>컴퓨터응용설계</t>
  </si>
  <si>
    <t>경기도 수원시 영통구 매탄4동 성일아파트 206동 1406호</t>
  </si>
  <si>
    <t>010-6391-5393</t>
  </si>
  <si>
    <t>ytkim@in-soft.co.kr</t>
  </si>
  <si>
    <t>48</t>
  </si>
  <si>
    <t>120204</t>
  </si>
  <si>
    <t>고혜진</t>
  </si>
  <si>
    <t>신사업개발본부</t>
  </si>
  <si>
    <t>사업개발그룹</t>
  </si>
  <si>
    <t>780223-2466819</t>
  </si>
  <si>
    <t>고려사이버대학교</t>
  </si>
  <si>
    <t>서울시 관악구 인헌동 1633-15</t>
  </si>
  <si>
    <t>010-7530-0223</t>
  </si>
  <si>
    <t>hjko@in-soft.co.kr</t>
  </si>
  <si>
    <t>52</t>
  </si>
  <si>
    <t>120304</t>
  </si>
  <si>
    <t>장진철</t>
  </si>
  <si>
    <t>701202-1455821</t>
  </si>
  <si>
    <t>고졸</t>
  </si>
  <si>
    <t>서울시 강서구 화곡3동 1068-11</t>
  </si>
  <si>
    <t>010-4105-6934</t>
  </si>
  <si>
    <t>request@in-soft.co.kr</t>
  </si>
  <si>
    <t>62</t>
  </si>
  <si>
    <t>강호석</t>
  </si>
  <si>
    <t>책임</t>
  </si>
  <si>
    <t>740618-1057312</t>
  </si>
  <si>
    <t>호서대학교</t>
  </si>
  <si>
    <t>컴퓨터공학</t>
  </si>
  <si>
    <t>서울시 노원구 상계6.7동 상계주공4단지 407동409호</t>
  </si>
  <si>
    <t>010-3715-3146</t>
  </si>
  <si>
    <t>hskang@in-soft.co.kr</t>
  </si>
  <si>
    <t>080801</t>
  </si>
  <si>
    <t>문경란</t>
  </si>
  <si>
    <t>경영지원팀</t>
  </si>
  <si>
    <t>840111-2056014</t>
  </si>
  <si>
    <t>국제대학</t>
  </si>
  <si>
    <t>패션디자인</t>
  </si>
  <si>
    <t>서울시 영등포구 양평동3가 30-15 203호</t>
  </si>
  <si>
    <t>010-9996-4011</t>
  </si>
  <si>
    <t>moon23@in-soft.co.kr</t>
  </si>
  <si>
    <t>120901</t>
  </si>
  <si>
    <t>박성천</t>
  </si>
  <si>
    <t>전무</t>
  </si>
  <si>
    <t>640504-1665613</t>
  </si>
  <si>
    <t>한양대학교</t>
  </si>
  <si>
    <t>물리학과</t>
  </si>
  <si>
    <t>마포구 상암동 월드컵아파트 201 -2006</t>
  </si>
  <si>
    <t>010-3730-1347</t>
  </si>
  <si>
    <t>scpark@in-soft.co.kr</t>
  </si>
  <si>
    <t>35</t>
  </si>
  <si>
    <t>110802</t>
  </si>
  <si>
    <t>이화영</t>
  </si>
  <si>
    <t>770213-2573836</t>
  </si>
  <si>
    <t>동국대학교</t>
  </si>
  <si>
    <t>서울 동작구 상도 2동 상도래미안 1차 108동 1110호</t>
  </si>
  <si>
    <t>011-9983-2785</t>
  </si>
  <si>
    <t>hylee@in-soft.co.kr</t>
  </si>
  <si>
    <t>071002</t>
  </si>
  <si>
    <t>문병관</t>
  </si>
  <si>
    <t>790318-1690411</t>
  </si>
  <si>
    <t>대구대학교</t>
  </si>
  <si>
    <t>전산학</t>
  </si>
  <si>
    <t>경기도 부천시 소사구 괴안동 99-1 신일해피트리아파트 104-1003</t>
  </si>
  <si>
    <t>010-8562-3983</t>
  </si>
  <si>
    <t>bkmoon@in-soft.co.kr</t>
  </si>
  <si>
    <t>100704</t>
  </si>
  <si>
    <t>권대현</t>
  </si>
  <si>
    <t>870214-1704210</t>
  </si>
  <si>
    <t>유한대학</t>
  </si>
  <si>
    <t>전자계산학</t>
  </si>
  <si>
    <t>인천계양구 용종동 하나아파트 319동 403호</t>
  </si>
  <si>
    <t>010-2000-4083</t>
  </si>
  <si>
    <t>dhkwon@in-soft.co.kr</t>
  </si>
  <si>
    <t>120104</t>
  </si>
  <si>
    <t>이상현</t>
  </si>
  <si>
    <t>680110-1011716</t>
  </si>
  <si>
    <t>명지대학교</t>
  </si>
  <si>
    <t>경기도 안양시 동안구 평촌동 푸른마을 대우아파트 107동 104호</t>
  </si>
  <si>
    <t>010-8207-8535</t>
  </si>
  <si>
    <t>sanghyunlee@in-soft.co.kr</t>
  </si>
  <si>
    <t>67</t>
  </si>
  <si>
    <t>기획</t>
  </si>
  <si>
    <t>김황곤</t>
  </si>
  <si>
    <t>전략기획실</t>
  </si>
  <si>
    <t>740528-1408518</t>
  </si>
  <si>
    <t>일본 게이오대학교 대학원</t>
  </si>
  <si>
    <t>미디어</t>
  </si>
  <si>
    <t>일본</t>
  </si>
  <si>
    <t>서울시 강남구 역삼동 643-16번지 302호</t>
  </si>
  <si>
    <t>010-6212-2018</t>
  </si>
  <si>
    <t>40</t>
  </si>
  <si>
    <t>120205</t>
  </si>
  <si>
    <t>전두일</t>
  </si>
  <si>
    <t>831220-1042511</t>
  </si>
  <si>
    <t>한성전문학교</t>
  </si>
  <si>
    <t>인터넷정보</t>
  </si>
  <si>
    <t>SCJP</t>
  </si>
  <si>
    <t>경기도 파주시 교하읍 가람마을 613동 801호</t>
  </si>
  <si>
    <t>010-3300-4338</t>
  </si>
  <si>
    <t>dijeon@in-soft.co.kr</t>
  </si>
  <si>
    <t>120801</t>
  </si>
  <si>
    <t>김윤호</t>
  </si>
  <si>
    <t>680702-1162844</t>
  </si>
  <si>
    <t>정보미디어학</t>
  </si>
  <si>
    <t>010-5322-1194</t>
  </si>
  <si>
    <t>yhkim@in-soft.co.kr</t>
  </si>
  <si>
    <t>44</t>
  </si>
  <si>
    <t>120402</t>
  </si>
  <si>
    <t>황용성</t>
  </si>
  <si>
    <t>플랫폼솔루션개발그룹</t>
  </si>
  <si>
    <t>711020-1162217</t>
  </si>
  <si>
    <t>청주대학교</t>
  </si>
  <si>
    <t>화학과</t>
  </si>
  <si>
    <t>MCP</t>
  </si>
  <si>
    <t>서울시 영등포구 여의도동 진주아파트 A동 401호</t>
  </si>
  <si>
    <t>010-9092-8067</t>
  </si>
  <si>
    <t>yshwang@in-soft.co.kr</t>
  </si>
  <si>
    <t>101101</t>
  </si>
  <si>
    <t>오정국</t>
  </si>
  <si>
    <t>수석</t>
  </si>
  <si>
    <t>720228-1656912</t>
  </si>
  <si>
    <t>아주대학교</t>
  </si>
  <si>
    <t>정보처리</t>
  </si>
  <si>
    <t>경기도 화성시 능동 1131 동탄숲속마을 자연앤데시앙아파트 875-204</t>
  </si>
  <si>
    <t>010-6284-2609</t>
  </si>
  <si>
    <t>jkoh@in-soft.co.kr</t>
  </si>
  <si>
    <t>110902</t>
  </si>
  <si>
    <t>정인철</t>
  </si>
  <si>
    <t>730526-1560516</t>
  </si>
  <si>
    <t>조선대학교</t>
  </si>
  <si>
    <t>전산통계학</t>
  </si>
  <si>
    <t>경기도 김포시 풍무동 당곡마을 748 월드메르디앙 아파트 305동 402호</t>
  </si>
  <si>
    <t>010-3170-2652</t>
  </si>
  <si>
    <t>icjung@in-soft.co.kr</t>
  </si>
  <si>
    <t>110205</t>
  </si>
  <si>
    <t>장현석</t>
  </si>
  <si>
    <t>플랫폼사업부</t>
  </si>
  <si>
    <t>831230-1042521</t>
  </si>
  <si>
    <t>경기상업학교</t>
  </si>
  <si>
    <t>정보처리기능사</t>
  </si>
  <si>
    <t>서울시 은평구 응암3동 756-20</t>
  </si>
  <si>
    <t>010-3727-8312</t>
  </si>
  <si>
    <t>hsjang@in-soft.co.kr</t>
  </si>
  <si>
    <t>120305</t>
  </si>
  <si>
    <t>장경순</t>
  </si>
  <si>
    <t>851110-1082412</t>
  </si>
  <si>
    <t>OCJP</t>
  </si>
  <si>
    <t>경기도 성남시 분당구 금곡동 한라아파트 302-1402</t>
  </si>
  <si>
    <t>010-2054-8861</t>
  </si>
  <si>
    <t>ksjang@in-soft.co.kr</t>
  </si>
  <si>
    <t>120902</t>
  </si>
  <si>
    <t>고성민</t>
  </si>
  <si>
    <t>R&amp;D 2팀</t>
  </si>
  <si>
    <t>830120-1118211</t>
  </si>
  <si>
    <t>신라대학교</t>
  </si>
  <si>
    <t>인터넷응용</t>
  </si>
  <si>
    <t>서울 특별시 영등포구 영등포4가 167-1 603호</t>
  </si>
  <si>
    <t>010-7142-3959</t>
  </si>
  <si>
    <t>smko@in-soft.co.kr</t>
  </si>
  <si>
    <t>(양)83.01.20</t>
  </si>
  <si>
    <t>111203</t>
  </si>
  <si>
    <t>김정영</t>
  </si>
  <si>
    <t>품질혁신팀</t>
  </si>
  <si>
    <t>770816-1023928</t>
  </si>
  <si>
    <t>명지전문대</t>
  </si>
  <si>
    <t>건축학</t>
  </si>
  <si>
    <t>SCSA</t>
  </si>
  <si>
    <t>SCNA</t>
  </si>
  <si>
    <t>서울시 동대문구 이문동 257-456 2층</t>
  </si>
  <si>
    <t>010-2708-1742</t>
  </si>
  <si>
    <t>jykim@in-soft.co.kr</t>
  </si>
  <si>
    <t>(양)77.08.16</t>
  </si>
  <si>
    <t>41</t>
  </si>
  <si>
    <t>120701</t>
  </si>
  <si>
    <t>이우진</t>
  </si>
  <si>
    <t>761011-1149217</t>
  </si>
  <si>
    <t xml:space="preserve">인하대학교 </t>
  </si>
  <si>
    <t>경영학</t>
  </si>
  <si>
    <t>인천시 계양구 작전동 미도아파트 1동 808호</t>
  </si>
  <si>
    <t>woojinlee@in-soft.co.kr</t>
  </si>
  <si>
    <t>(음)76.10.11</t>
  </si>
  <si>
    <t>12.02</t>
  </si>
  <si>
    <t>함형석</t>
  </si>
  <si>
    <t>IT사업본부</t>
  </si>
  <si>
    <t>SI사업기획팀</t>
  </si>
  <si>
    <t>720825-1479011</t>
  </si>
  <si>
    <t>한남대학교</t>
  </si>
  <si>
    <t>컴퓨터공학과</t>
  </si>
  <si>
    <t>경기도 안양시 동안구 평촌동 초원대원아파트 303동 802호</t>
  </si>
  <si>
    <t>010-2307-9638</t>
  </si>
  <si>
    <t>hsham@in-soft.co.kr</t>
  </si>
  <si>
    <t>(양)72.08.25</t>
  </si>
  <si>
    <t>8.25</t>
  </si>
  <si>
    <t>65</t>
  </si>
  <si>
    <t>김윤철</t>
  </si>
  <si>
    <t>상무</t>
  </si>
  <si>
    <t>680110-1041411</t>
  </si>
  <si>
    <t>전자계산학과</t>
  </si>
  <si>
    <t>서울 마포구 합정동 369-3 202호</t>
  </si>
  <si>
    <t>010-7277-5451</t>
  </si>
  <si>
    <t>paul@in-soft.co.kr</t>
  </si>
  <si>
    <t>(양)67.01.10</t>
  </si>
  <si>
    <t>1.10</t>
  </si>
  <si>
    <t>66</t>
  </si>
  <si>
    <t>류주영</t>
  </si>
  <si>
    <t>TSO팀</t>
  </si>
  <si>
    <t>88082919-10418</t>
  </si>
  <si>
    <t>진주 연암 공업대학</t>
  </si>
  <si>
    <t>전기 컴퓨터 공학</t>
  </si>
  <si>
    <t>서울 구로구 구로3동 1132-52 KS원룸 107호</t>
  </si>
  <si>
    <t>010-9238-9556</t>
  </si>
  <si>
    <t>jyryu@in-soft.co.kr</t>
  </si>
  <si>
    <t>(양)88.08.29</t>
  </si>
  <si>
    <t>72</t>
  </si>
  <si>
    <t>김용태</t>
  </si>
  <si>
    <t>810528-1448912</t>
  </si>
  <si>
    <t>배제대</t>
  </si>
  <si>
    <t>서울시 영등포구 선유라9나길 CSVILL 701</t>
  </si>
  <si>
    <t>010-2249-3636</t>
  </si>
  <si>
    <t>bbytkim@in-soft.co.kr</t>
  </si>
  <si>
    <t>(음)81.04.25</t>
  </si>
  <si>
    <t>5.23</t>
  </si>
  <si>
    <t>60</t>
  </si>
  <si>
    <t>정해식</t>
  </si>
  <si>
    <t>SI영업팀</t>
  </si>
  <si>
    <t>710424-1683914</t>
  </si>
  <si>
    <t>경북대학교</t>
  </si>
  <si>
    <t>지역정보</t>
  </si>
  <si>
    <t>경기. 군포. 광정. 삼성장미A 1132-1101</t>
  </si>
  <si>
    <t>010-3251-6679</t>
  </si>
  <si>
    <t>hasjung@in-soft.co.kr</t>
  </si>
  <si>
    <t>(양)71.04.24</t>
  </si>
  <si>
    <t>4.24</t>
  </si>
  <si>
    <t>111201</t>
  </si>
  <si>
    <t>김동진</t>
  </si>
  <si>
    <t>810523-1017120</t>
  </si>
  <si>
    <t>목원대학교</t>
  </si>
  <si>
    <t>사회체육학</t>
  </si>
  <si>
    <t>서울시 강서구 염창동 277-63 국제빌라 나동 201호</t>
  </si>
  <si>
    <t>010-9039-8888</t>
  </si>
  <si>
    <t>djkim@in-soft.co.kr</t>
  </si>
  <si>
    <t>(양)81.05.23</t>
  </si>
  <si>
    <t>38</t>
  </si>
  <si>
    <t>120601</t>
  </si>
  <si>
    <t>이윤주</t>
  </si>
  <si>
    <t>810609-2785410</t>
  </si>
  <si>
    <t>서울시 영등포구 대림동 신동아아파트 1동 201호</t>
  </si>
  <si>
    <t>010-9353-0609</t>
  </si>
  <si>
    <t>yjlee@in-soft.co.kr</t>
  </si>
  <si>
    <t>(양)81.06.09</t>
  </si>
  <si>
    <t>59</t>
  </si>
  <si>
    <t>이남섭</t>
  </si>
  <si>
    <t>SI컨설팅팀</t>
  </si>
  <si>
    <t>691210-1010221</t>
  </si>
  <si>
    <t>경영정보</t>
  </si>
  <si>
    <t>서울시 동대문구 사가정로 65  202동 905호 래미안 크레시티</t>
  </si>
  <si>
    <t>010-8795-0221</t>
  </si>
  <si>
    <t>cyan@in-soft.co.kr</t>
  </si>
  <si>
    <t>(양)69.12.10</t>
  </si>
  <si>
    <t>12.10</t>
  </si>
  <si>
    <t>어성화</t>
  </si>
  <si>
    <t>761112-1357619</t>
  </si>
  <si>
    <t>상지영서대학</t>
  </si>
  <si>
    <t>서울시 도봉구 덕릉로54가길 10-7 502호</t>
  </si>
  <si>
    <t>010-4789-8940</t>
  </si>
  <si>
    <t>sheo@in-soft.co.kr</t>
  </si>
  <si>
    <t>(음)76.11.12</t>
  </si>
  <si>
    <t>1.02</t>
  </si>
  <si>
    <t>길성훈</t>
  </si>
  <si>
    <t>770903-1025714</t>
  </si>
  <si>
    <t>제어계측</t>
  </si>
  <si>
    <t>서울시 도봉구 덕릉로 62길 28</t>
  </si>
  <si>
    <t>010-8925-8373</t>
  </si>
  <si>
    <t>shkil@in-soft.co.kr</t>
  </si>
  <si>
    <t>(양)77.10.15</t>
  </si>
  <si>
    <t>10.15</t>
  </si>
  <si>
    <t>최영수</t>
  </si>
  <si>
    <t>보안사업팀</t>
  </si>
  <si>
    <t>730519-1047016</t>
  </si>
  <si>
    <t>경기대학원</t>
  </si>
  <si>
    <t>정보보호학</t>
  </si>
  <si>
    <t>서울</t>
  </si>
  <si>
    <t>서울시 마포 대흥동 22-84</t>
  </si>
  <si>
    <t>010-4727-9025</t>
  </si>
  <si>
    <t>yschoi@in-soft.co.kr</t>
  </si>
  <si>
    <t>(양)73.05.19</t>
  </si>
  <si>
    <t>5.19</t>
  </si>
  <si>
    <t>위성</t>
  </si>
  <si>
    <t>860113-1330916</t>
  </si>
  <si>
    <t>안동과학대학</t>
  </si>
  <si>
    <t>정보보안학</t>
  </si>
  <si>
    <t>경북</t>
  </si>
  <si>
    <t>CISSP</t>
  </si>
  <si>
    <t>서울시 동작구 노량진동 314-60번지</t>
  </si>
  <si>
    <t>010-7240-1919</t>
  </si>
  <si>
    <t>swi@in-soft.co.kr</t>
  </si>
  <si>
    <t>(양)86.01.13</t>
  </si>
  <si>
    <t>1.13</t>
  </si>
  <si>
    <t>75</t>
  </si>
  <si>
    <t>송선호</t>
  </si>
  <si>
    <t>890805-1017811</t>
  </si>
  <si>
    <t>국가평생교육진흥원</t>
  </si>
  <si>
    <t>ICQA</t>
  </si>
  <si>
    <t>서울시 성북구 보국문로12길 28, 202호 (정릉동, 태영빌라)</t>
  </si>
  <si>
    <t>010-7754-8985</t>
  </si>
  <si>
    <t>shsong@in-soft.co.kr</t>
  </si>
  <si>
    <t>(양)89.08.05</t>
  </si>
  <si>
    <t>8.05</t>
  </si>
  <si>
    <t>76</t>
  </si>
  <si>
    <t>정택상</t>
  </si>
  <si>
    <t>880828-1659417</t>
  </si>
  <si>
    <t>서강대학교</t>
  </si>
  <si>
    <t>경제학</t>
  </si>
  <si>
    <t>서울시 강서구 공항대로39길 100, 104동 601호 (등촌동, 대림아파트)</t>
  </si>
  <si>
    <t>010-9120-9849</t>
  </si>
  <si>
    <t>tsjung@in-soft.co.kr</t>
  </si>
  <si>
    <t>(양)88.08.28</t>
  </si>
  <si>
    <t>8.28</t>
  </si>
  <si>
    <t>58</t>
  </si>
  <si>
    <t>이이형</t>
  </si>
  <si>
    <t>R&amp;D 1팀</t>
  </si>
  <si>
    <t>720704-1565616</t>
  </si>
  <si>
    <t>신구대학</t>
  </si>
  <si>
    <t>전자계산</t>
  </si>
  <si>
    <t>인천시 남동구 만수3동 109-364 경인맨션 101-401호</t>
  </si>
  <si>
    <t>010-2122-2027</t>
  </si>
  <si>
    <t>yhlee@in-soft.co.kr</t>
  </si>
  <si>
    <t>(음)72.07.04</t>
  </si>
  <si>
    <t>7.30</t>
  </si>
  <si>
    <t>이학수</t>
  </si>
  <si>
    <t>SI사업본부</t>
  </si>
  <si>
    <t>750117-1703418</t>
  </si>
  <si>
    <t>대전대학교</t>
  </si>
  <si>
    <t>대전</t>
  </si>
  <si>
    <t>CCNA</t>
  </si>
  <si>
    <t>경기도 광주시 태봉로 77 성원3단지 303동1704호</t>
  </si>
  <si>
    <t>010-9070-1170</t>
  </si>
  <si>
    <t>hslee@in-soft.co.kr</t>
  </si>
  <si>
    <t>(양)75.01.17</t>
  </si>
  <si>
    <t>1.17</t>
  </si>
  <si>
    <t>이준희</t>
  </si>
  <si>
    <t>전략영업팀</t>
  </si>
  <si>
    <t>860206-1041811</t>
  </si>
  <si>
    <t>서울시 은평구 구산동 547 대림아파트 102동 1102호</t>
  </si>
  <si>
    <t>010-4311-7805</t>
  </si>
  <si>
    <t>jhlee@in-soft.co.kr</t>
  </si>
  <si>
    <t>(양)86.02.06</t>
  </si>
  <si>
    <t>2.06</t>
  </si>
  <si>
    <t>김승모</t>
  </si>
  <si>
    <t>710927-1063429</t>
  </si>
  <si>
    <t>University of Tessessee</t>
  </si>
  <si>
    <t>Computer Science</t>
  </si>
  <si>
    <t>북미</t>
  </si>
  <si>
    <t>경기 용인시 수지구 상현동 현대프레미오 101동 905호</t>
  </si>
  <si>
    <t>010-9032-2911</t>
  </si>
  <si>
    <t>momo3kim@in-soft.co.kr</t>
  </si>
  <si>
    <t>(양)71.09.27</t>
  </si>
  <si>
    <t>9.27</t>
  </si>
  <si>
    <t>45</t>
  </si>
  <si>
    <t>박상완</t>
  </si>
  <si>
    <t>클라우드사업본부</t>
  </si>
  <si>
    <t>880118-1860411</t>
  </si>
  <si>
    <t>가톨릭대학교</t>
  </si>
  <si>
    <t>정보통신전자공학</t>
  </si>
  <si>
    <t>서울시 구로구 오류2동 삼천리아파트 103동 203호</t>
  </si>
  <si>
    <t>010-2977-7656</t>
  </si>
  <si>
    <t xml:space="preserve">swpark@in-soft.co.kr </t>
  </si>
  <si>
    <t>(양)88.01.18</t>
  </si>
  <si>
    <t>36</t>
  </si>
  <si>
    <t>120303</t>
  </si>
  <si>
    <t>김갑진</t>
  </si>
  <si>
    <t>761208-1056624</t>
  </si>
  <si>
    <t>경민대학</t>
  </si>
  <si>
    <t>서울시 강북구 수유2동 707-12</t>
  </si>
  <si>
    <t>010-3613-7612</t>
  </si>
  <si>
    <t>gjkim@in-soft.co.kr</t>
  </si>
  <si>
    <t>(음)76.12.08</t>
  </si>
  <si>
    <t>1.27</t>
  </si>
  <si>
    <t>1135 7798</t>
  </si>
  <si>
    <t>조혜은</t>
  </si>
  <si>
    <t>890923-2154911</t>
  </si>
  <si>
    <t>벤쳐중소기업학</t>
  </si>
  <si>
    <t>인천광역시 부평구 부평4동 10-544</t>
  </si>
  <si>
    <t>010-5573-3037</t>
  </si>
  <si>
    <t>hejo@in-soft.co.kr</t>
  </si>
  <si>
    <t>(양)89.09.23</t>
  </si>
  <si>
    <t>9.23</t>
  </si>
  <si>
    <t>1147 1534</t>
  </si>
  <si>
    <t>55</t>
  </si>
  <si>
    <t>이현구</t>
  </si>
  <si>
    <t>830224-1386314</t>
  </si>
  <si>
    <t>MCITP</t>
  </si>
  <si>
    <t>충북 영동군 황간면 우천리 107번지</t>
  </si>
  <si>
    <t>010-4539-7299</t>
  </si>
  <si>
    <t>hglee@in-soft.co.kr</t>
  </si>
  <si>
    <t>(양)83.02.24</t>
  </si>
  <si>
    <t>문경섭</t>
  </si>
  <si>
    <t>1065 7897</t>
  </si>
  <si>
    <t>700711-1932114</t>
  </si>
  <si>
    <t>Griffith University</t>
  </si>
  <si>
    <t>IT학</t>
  </si>
  <si>
    <t>호주</t>
  </si>
  <si>
    <t>박사</t>
  </si>
  <si>
    <t>인천시 서구 검암동 522-14 이원하늘채 401호</t>
  </si>
  <si>
    <t>010-9926-7547</t>
  </si>
  <si>
    <t>ksmoon@in-soft.co.kr</t>
  </si>
  <si>
    <t>(음)70.07.11</t>
  </si>
  <si>
    <t>8.24</t>
  </si>
  <si>
    <t>1141 9163</t>
  </si>
  <si>
    <t>CIS팀</t>
  </si>
  <si>
    <t>서울시 동대문구 장안1동 현대홈타운아파트 112동 404호</t>
  </si>
  <si>
    <t>(음)73.11.22</t>
  </si>
  <si>
    <t>1.12</t>
  </si>
  <si>
    <t>홍경의</t>
  </si>
  <si>
    <t>1141 0295</t>
  </si>
  <si>
    <t>클라우드솔루션팀</t>
  </si>
  <si>
    <t>761203-1384317</t>
  </si>
  <si>
    <t>우송공업대학</t>
  </si>
  <si>
    <t>서울시 동작구 여의대방로22길 112번지</t>
  </si>
  <si>
    <t>010-6415-7092</t>
  </si>
  <si>
    <t>kuhong@in-soft.co.kr</t>
  </si>
  <si>
    <t>(음)76.12.03</t>
  </si>
  <si>
    <t>1.22</t>
  </si>
  <si>
    <t>39</t>
  </si>
  <si>
    <t>이상용</t>
  </si>
  <si>
    <t>1097 7333</t>
  </si>
  <si>
    <t>클라우드컨설팅팀</t>
  </si>
  <si>
    <t>서비스</t>
  </si>
  <si>
    <t>800419-1011211</t>
  </si>
  <si>
    <t>가천길대학</t>
  </si>
  <si>
    <t>경기도 성남시 분당구 정자동 한솔주공4단지 407동 605호</t>
  </si>
  <si>
    <t>010-6315-3535</t>
  </si>
  <si>
    <t xml:space="preserve">sylee@in-soft.co.kr </t>
  </si>
  <si>
    <t>(양)80.03.19</t>
  </si>
  <si>
    <t>64</t>
  </si>
  <si>
    <t>안남욱</t>
  </si>
  <si>
    <t>1147 2705</t>
  </si>
  <si>
    <t>710530-1470622</t>
  </si>
  <si>
    <t>인하대학교</t>
  </si>
  <si>
    <t>전자계산공학</t>
  </si>
  <si>
    <t>인천</t>
  </si>
  <si>
    <t>경기도 부천시 원미구 중동1172 보람마을1114동 401호</t>
  </si>
  <si>
    <t>010-6274-3056</t>
  </si>
  <si>
    <t>nuahn@in-soft.co.kr</t>
  </si>
  <si>
    <t>(양)71.05.30</t>
  </si>
  <si>
    <t>5.30</t>
  </si>
  <si>
    <t>56</t>
  </si>
  <si>
    <t xml:space="preserve">개발 </t>
  </si>
  <si>
    <t>이봉섭</t>
  </si>
  <si>
    <t>1139 0230</t>
  </si>
  <si>
    <t>플랫폼 SI 사업팀</t>
  </si>
  <si>
    <t>플뢧폼개발 2</t>
  </si>
  <si>
    <t>690110-1074319</t>
  </si>
  <si>
    <t>상지대학교</t>
  </si>
  <si>
    <t>자원공학과</t>
  </si>
  <si>
    <t>경기도 용인시 보정동 신촌마을 포스홈타운 205-1301호</t>
  </si>
  <si>
    <t>010-3231-6901</t>
  </si>
  <si>
    <t>bslee@in-soft.co.kr</t>
  </si>
  <si>
    <t>(양)69.01.10</t>
  </si>
  <si>
    <t>김기성</t>
  </si>
  <si>
    <t>1133 6381</t>
  </si>
  <si>
    <t>플뢧폼개발 1</t>
  </si>
  <si>
    <t>721102-1457323</t>
  </si>
  <si>
    <t>경기대학교</t>
  </si>
  <si>
    <t>서울시 영등포구 양평동3가 79-4 현대2차 아파트 201동 105호</t>
  </si>
  <si>
    <t>010-9028-8418</t>
  </si>
  <si>
    <t>eyesmans@in-soft.co.kr</t>
  </si>
  <si>
    <t>(양)72.10.04</t>
  </si>
  <si>
    <t>10.04</t>
  </si>
  <si>
    <t>63</t>
  </si>
  <si>
    <t>150502</t>
  </si>
  <si>
    <t>이태섭</t>
  </si>
  <si>
    <t>1148 4247</t>
  </si>
  <si>
    <t>통합관제팀</t>
  </si>
  <si>
    <t>680101-1017911</t>
  </si>
  <si>
    <t>중앙대학교</t>
  </si>
  <si>
    <t>경기도 성남시 분당구 이매동 이매촌진흥아파트 809동 103호</t>
  </si>
  <si>
    <t>010-3753-9097</t>
  </si>
  <si>
    <t>pstslee@in-soft.co.kr</t>
  </si>
  <si>
    <t>(양)68.01.01</t>
  </si>
  <si>
    <t>1.01</t>
  </si>
  <si>
    <t>74</t>
  </si>
  <si>
    <t>160101</t>
  </si>
  <si>
    <t>박정용</t>
  </si>
  <si>
    <t>861217-1041725</t>
  </si>
  <si>
    <t>서울과학기술대학교</t>
  </si>
  <si>
    <t>전지정보공학</t>
  </si>
  <si>
    <t>학</t>
  </si>
  <si>
    <t>서울시 관악구 대학동 금호1차 아파트 101동 506호</t>
  </si>
  <si>
    <t>010-9162-3062</t>
  </si>
  <si>
    <t>jypark@in-soft.co.kr</t>
  </si>
  <si>
    <t>(양)86.12.17</t>
  </si>
  <si>
    <t>12.17</t>
  </si>
  <si>
    <t>151001</t>
  </si>
  <si>
    <t>SE</t>
  </si>
  <si>
    <t>강현모</t>
  </si>
  <si>
    <t>1151 8573</t>
  </si>
  <si>
    <t>CIST</t>
  </si>
  <si>
    <t>870308-1237010</t>
  </si>
  <si>
    <t>목포해양대학교</t>
  </si>
  <si>
    <t>항해학</t>
  </si>
  <si>
    <t>전남</t>
  </si>
  <si>
    <t>인천시 부평구 원길로 15-16 602동 201호</t>
  </si>
  <si>
    <t>010-2486-0185</t>
  </si>
  <si>
    <t>hmkang@in-soft.co.kr</t>
  </si>
  <si>
    <t>(양)87.03.08</t>
  </si>
  <si>
    <t>3.08</t>
  </si>
  <si>
    <t>150601</t>
  </si>
  <si>
    <t>1122 7240</t>
  </si>
  <si>
    <t>150801</t>
  </si>
  <si>
    <t>안기환</t>
  </si>
  <si>
    <t>1117 1332</t>
  </si>
  <si>
    <t>신사업개발팀</t>
  </si>
  <si>
    <t>651105-1690526</t>
  </si>
  <si>
    <t>한국과학기술원(KAIST)</t>
  </si>
  <si>
    <t>전기전자공학</t>
  </si>
  <si>
    <t>서울시 강남구 영동대로 210, 3동 1003호</t>
  </si>
  <si>
    <t>010-2736-0096</t>
  </si>
  <si>
    <t>khahn1105@in-soft.co.kr</t>
  </si>
  <si>
    <t>(양)65.11.05</t>
  </si>
  <si>
    <t>11.05</t>
  </si>
  <si>
    <t>151002</t>
  </si>
  <si>
    <t>신광섭</t>
  </si>
  <si>
    <t>1154 5638</t>
  </si>
  <si>
    <t>860811-1452717</t>
  </si>
  <si>
    <t>검정고시</t>
  </si>
  <si>
    <t>인천시 부평구 십정동 59번지 수피아맨션 502호</t>
  </si>
  <si>
    <t>010-9596-5025</t>
  </si>
  <si>
    <t>ksshin@in-soft.co.kr</t>
  </si>
  <si>
    <t>(음)86.08.11</t>
  </si>
  <si>
    <t>9.11</t>
  </si>
  <si>
    <t>160302</t>
  </si>
  <si>
    <t>문태진</t>
  </si>
  <si>
    <t>920208-1258319</t>
  </si>
  <si>
    <t>경기</t>
  </si>
  <si>
    <t>인천시 남동구  만수로50번길 19, 620동 202호(만수동, 만수주공아파트6단지)</t>
  </si>
  <si>
    <t>010-6876-2012</t>
  </si>
  <si>
    <t>tjmoon@in-soft.co.kr</t>
  </si>
  <si>
    <t>(양)92.02.08</t>
  </si>
  <si>
    <t>2.08</t>
  </si>
  <si>
    <t>160305</t>
  </si>
  <si>
    <t>정재욱</t>
  </si>
  <si>
    <t>880105-1070814</t>
  </si>
  <si>
    <t>홍익대학교</t>
  </si>
  <si>
    <t>서울시 관악구 대학동 231-17호</t>
  </si>
  <si>
    <t>010-9899-0105</t>
  </si>
  <si>
    <t>jwjung@in-soft.co.kr</t>
  </si>
  <si>
    <t>(양)88.01.05</t>
  </si>
  <si>
    <t>1.05</t>
  </si>
  <si>
    <t>강수연</t>
  </si>
  <si>
    <t>1133 6336</t>
  </si>
  <si>
    <t>880905-2405913</t>
  </si>
  <si>
    <t>서경대학교</t>
  </si>
  <si>
    <t>서울시 성북구 돈암2동 한진아파트 214동 1904호</t>
  </si>
  <si>
    <t>010-8519-0986</t>
  </si>
  <si>
    <t xml:space="preserve">sykang@in-soft.co.kr </t>
  </si>
  <si>
    <t>(양)88.09.05</t>
  </si>
  <si>
    <t>85</t>
  </si>
  <si>
    <t>160505</t>
  </si>
  <si>
    <t>황윤재</t>
  </si>
  <si>
    <t>850606-1169417</t>
  </si>
  <si>
    <t>한경대학교</t>
  </si>
  <si>
    <t>토목공학</t>
  </si>
  <si>
    <t>경기도 성남시 분당구 정자동 80-11 201호</t>
  </si>
  <si>
    <t>010-2350-6800</t>
  </si>
  <si>
    <t>yjhwang@in-soft.co.kr</t>
  </si>
  <si>
    <t>(양)85.05.06</t>
  </si>
  <si>
    <t>05.06</t>
  </si>
  <si>
    <t>78</t>
  </si>
  <si>
    <t>160309</t>
  </si>
  <si>
    <t>김종두</t>
  </si>
  <si>
    <t>1157 7674</t>
  </si>
  <si>
    <t>720112-1037820</t>
  </si>
  <si>
    <t>서울시 은평구 구산동 14-25 102호</t>
  </si>
  <si>
    <t>010-2263-7519</t>
  </si>
  <si>
    <t>jdkim@in-soft.co.kr</t>
  </si>
  <si>
    <t>(양)72.01.12</t>
  </si>
  <si>
    <t>1.14</t>
  </si>
  <si>
    <t>160201</t>
  </si>
  <si>
    <t>1156 3589</t>
  </si>
  <si>
    <t>불곡고등학교</t>
  </si>
  <si>
    <t>분당</t>
  </si>
  <si>
    <t>경기도 성남시 분당구 정자일로 72 한라아파트 302-1042</t>
  </si>
  <si>
    <t>(양)85.11.10</t>
  </si>
  <si>
    <t>11.10</t>
  </si>
  <si>
    <t>150901</t>
  </si>
  <si>
    <t>연승욱</t>
  </si>
  <si>
    <t>1150 9327</t>
  </si>
  <si>
    <t>690123-1000713</t>
  </si>
  <si>
    <t>서울대학교</t>
  </si>
  <si>
    <t>서울시 서대문구 연희동 38번지 리베르떼빌 B-401</t>
  </si>
  <si>
    <t>010-8742-1434</t>
  </si>
  <si>
    <t>suyeon@in-soft.co.kr</t>
  </si>
  <si>
    <t>(양)69.01.23</t>
  </si>
  <si>
    <t>1.23</t>
  </si>
  <si>
    <t>84</t>
  </si>
  <si>
    <t>160801</t>
  </si>
  <si>
    <t>091001</t>
  </si>
  <si>
    <t>김정진</t>
  </si>
  <si>
    <t>1135 7873</t>
  </si>
  <si>
    <t>CISP</t>
  </si>
  <si>
    <t>741113-1559936</t>
  </si>
  <si>
    <t>호남대학교</t>
  </si>
  <si>
    <t>도시공학</t>
  </si>
  <si>
    <t>서울시 양천구 목1동 목동아파트 732동 501호</t>
  </si>
  <si>
    <t>010-6213-9094</t>
  </si>
  <si>
    <t>jerid@in-soft.co.kr</t>
  </si>
  <si>
    <t>(양)74.11.13</t>
  </si>
  <si>
    <t>11.13</t>
  </si>
  <si>
    <t>100603</t>
  </si>
  <si>
    <t>송필호</t>
  </si>
  <si>
    <t>1106 8207</t>
  </si>
  <si>
    <t>831004-1621610</t>
  </si>
  <si>
    <t>인터넷공학</t>
  </si>
  <si>
    <t>VMWare VTSP</t>
  </si>
  <si>
    <t>서울시 관악구 신림동 534-1 아데나534 1동 410호</t>
  </si>
  <si>
    <t>010-2621-1884</t>
  </si>
  <si>
    <t>phsong@in-soft.co.kr</t>
  </si>
  <si>
    <t>(양)83.10.04</t>
  </si>
  <si>
    <t>100103</t>
  </si>
  <si>
    <t>송인섭</t>
  </si>
  <si>
    <t>실장</t>
  </si>
  <si>
    <t>1109 5256</t>
  </si>
  <si>
    <t>750608-1658815</t>
  </si>
  <si>
    <t>경기도 김포시 풍무동 748번지 당곡마을 월드메르디앙 303동 704호</t>
  </si>
  <si>
    <t>010-4634-5457</t>
  </si>
  <si>
    <t>issong@in-soft.co.kr</t>
  </si>
  <si>
    <t>(음)75.01.06</t>
  </si>
  <si>
    <t>2.13</t>
  </si>
  <si>
    <t>120203</t>
  </si>
  <si>
    <t>김인홍</t>
  </si>
  <si>
    <t>1140 9280</t>
  </si>
  <si>
    <t>870909-1063915</t>
  </si>
  <si>
    <t>함현고등학교</t>
  </si>
  <si>
    <t>MCTS</t>
  </si>
  <si>
    <t>인천시 남동구 만수6동 1024-10 번지 201호</t>
  </si>
  <si>
    <t>010-9906-1987</t>
  </si>
  <si>
    <t>ihkim@in-soft.co.kr</t>
  </si>
  <si>
    <t>(양)87.09.09</t>
  </si>
  <si>
    <t>박재춘</t>
  </si>
  <si>
    <t>1082 9318</t>
  </si>
  <si>
    <t>790613-1845718</t>
  </si>
  <si>
    <t>경남대학교</t>
  </si>
  <si>
    <t>경남</t>
  </si>
  <si>
    <t>SCWCD</t>
  </si>
  <si>
    <t>서울시 구로구 구로동 1126-18 트윈빌 1-201</t>
  </si>
  <si>
    <t>010-7779-6484</t>
  </si>
  <si>
    <t>jcpark@in-soft.co.kr</t>
  </si>
  <si>
    <t>(양)79.06.13</t>
  </si>
  <si>
    <t>변지환</t>
  </si>
  <si>
    <t>1122 7372</t>
  </si>
  <si>
    <t>791201-1803121</t>
  </si>
  <si>
    <t>대구영진전문대학</t>
  </si>
  <si>
    <t xml:space="preserve"> 게임프로그래밍</t>
  </si>
  <si>
    <t>서울시 종로구 숭인동 521-1 정우빌라 B동 101호</t>
  </si>
  <si>
    <t>010-9022-4776</t>
  </si>
  <si>
    <t xml:space="preserve">jhbyun@in-soft.co.kr </t>
  </si>
  <si>
    <t>(음)79.12.01</t>
  </si>
  <si>
    <t>041202</t>
  </si>
  <si>
    <t>문형원</t>
  </si>
  <si>
    <t>1122 7459</t>
  </si>
  <si>
    <t>750623-1067314</t>
  </si>
  <si>
    <t>고려대학교</t>
  </si>
  <si>
    <t>정보공학</t>
  </si>
  <si>
    <t>서울시 성북구 정릉4동 풍림아파트 116 - 1402</t>
  </si>
  <si>
    <t>010-4599-6401</t>
  </si>
  <si>
    <t>hwmoon@in-soft.co.kr</t>
  </si>
  <si>
    <t>(양)75.06.23</t>
  </si>
  <si>
    <t>6.23</t>
  </si>
  <si>
    <t>심동진</t>
  </si>
  <si>
    <t>1133 6410</t>
  </si>
  <si>
    <t>790506-1702211</t>
  </si>
  <si>
    <t>건양대</t>
  </si>
  <si>
    <t>전산학과</t>
  </si>
  <si>
    <t>서울시 은평구 역촌동 16-29 샹그리라 602호</t>
  </si>
  <si>
    <t>010-2868-0334</t>
  </si>
  <si>
    <t>djshim@in-soft.co.kr</t>
  </si>
  <si>
    <t>(양)79.05.06</t>
  </si>
  <si>
    <t>150802</t>
  </si>
  <si>
    <t>1150 9201</t>
  </si>
  <si>
    <t>860207-1002211</t>
  </si>
  <si>
    <t>인덕대학교</t>
  </si>
  <si>
    <t>컴퓨터전자</t>
  </si>
  <si>
    <t>정보기기운용기능사</t>
  </si>
  <si>
    <t>서울시 동대문구 용두동 792-1 래미안 용두1차 201동 1103호</t>
  </si>
  <si>
    <t>010-4001-0661</t>
  </si>
  <si>
    <t>mskim@in-soft.co.kr</t>
  </si>
  <si>
    <t>(양)86.02.07</t>
  </si>
  <si>
    <t>2.07</t>
  </si>
  <si>
    <t>090702</t>
  </si>
  <si>
    <t>박상준</t>
  </si>
  <si>
    <t>1135 7839</t>
  </si>
  <si>
    <t>791228-1010912</t>
  </si>
  <si>
    <t>강원대학교</t>
  </si>
  <si>
    <t>통계학과</t>
  </si>
  <si>
    <t>경기도 부천시 원미구 춘의동 187-2 신진시티하우스 118-402</t>
  </si>
  <si>
    <t>010-9025-3228</t>
  </si>
  <si>
    <t>park12@in-soft.co.kr</t>
  </si>
  <si>
    <t>(양)79.12.18</t>
  </si>
  <si>
    <t>조동진</t>
  </si>
  <si>
    <t>1141 9209</t>
  </si>
  <si>
    <t>880423-1150914</t>
  </si>
  <si>
    <t>단국대학교</t>
  </si>
  <si>
    <t>컴퓨터과학</t>
  </si>
  <si>
    <t>충남</t>
  </si>
  <si>
    <t>충남 천안시 용곡동 세광2차 208동 1002호</t>
  </si>
  <si>
    <t>010-6274-5923</t>
  </si>
  <si>
    <t>djjo@in-soft.co.kr</t>
  </si>
  <si>
    <t>(양)88.04.23</t>
  </si>
  <si>
    <t>160501</t>
  </si>
  <si>
    <t>정한수</t>
  </si>
  <si>
    <t>1161 0134</t>
  </si>
  <si>
    <t>820120-1226519</t>
  </si>
  <si>
    <t>한광고등학교</t>
  </si>
  <si>
    <t>서울시 서대문구 창천동 317 로뎀빌라 304호</t>
  </si>
  <si>
    <t>010-6484-1254</t>
  </si>
  <si>
    <t>hsjung@in-soft.co.kr</t>
  </si>
  <si>
    <t>(양)82.01.20</t>
  </si>
  <si>
    <t>01.20</t>
  </si>
  <si>
    <t>87</t>
  </si>
  <si>
    <t>170204</t>
  </si>
  <si>
    <t>나주희</t>
  </si>
  <si>
    <t>911128-2233215</t>
  </si>
  <si>
    <t>경기도 파주시 후곡로 80 중앙하이츠 104동 1501호</t>
  </si>
  <si>
    <t>010-4766-0477</t>
  </si>
  <si>
    <t>jhna@in-soft.co.kr</t>
  </si>
  <si>
    <t>(양)91.11.28</t>
  </si>
  <si>
    <t>11.28</t>
  </si>
  <si>
    <t>90</t>
  </si>
  <si>
    <t>170207</t>
  </si>
  <si>
    <t>유현정</t>
  </si>
  <si>
    <t>941116-2083010</t>
  </si>
  <si>
    <t>회계학</t>
  </si>
  <si>
    <t>서울시 강동구 진황도로49길 35, 101호 (길동)</t>
  </si>
  <si>
    <t>010-2209-5541</t>
  </si>
  <si>
    <t>hjyou@in-soft.co.kr</t>
  </si>
  <si>
    <t>(양)94.11.16</t>
  </si>
  <si>
    <t>11.16</t>
  </si>
  <si>
    <t>151201</t>
  </si>
  <si>
    <t>채근석</t>
  </si>
  <si>
    <t>1128 7406</t>
  </si>
  <si>
    <t>770305-1030112</t>
  </si>
  <si>
    <t>삼육의명대학</t>
  </si>
  <si>
    <t>전산정보</t>
  </si>
  <si>
    <t>서울시 영등포구  영등포로20길 20, 802호(문래동3가, 예지펠리스77차)</t>
  </si>
  <si>
    <t>010-9930-2830</t>
  </si>
  <si>
    <t>kschae@in-soft.co.kr</t>
  </si>
  <si>
    <t>(양)77.01.05</t>
  </si>
  <si>
    <t>160307</t>
  </si>
  <si>
    <t>최수영</t>
  </si>
  <si>
    <t>1160 9483</t>
  </si>
  <si>
    <t>920224-2019510</t>
  </si>
  <si>
    <t>국민대학교</t>
  </si>
  <si>
    <t>정보시스템학</t>
  </si>
  <si>
    <t>서울시 노원구  한글비석로 151 6동 805호 (하계동, 한신동성아파트)</t>
  </si>
  <si>
    <t>010-6364-4220</t>
  </si>
  <si>
    <t>sychoi@in-soft.co.kr</t>
  </si>
  <si>
    <t>(양)92.02.24</t>
  </si>
  <si>
    <t>2.24</t>
  </si>
  <si>
    <t>161003</t>
  </si>
  <si>
    <t>장용석</t>
  </si>
  <si>
    <t>1171 0629</t>
  </si>
  <si>
    <t>841101-1057923</t>
  </si>
  <si>
    <t>성공회대학교</t>
  </si>
  <si>
    <t>소프트웨어공학</t>
  </si>
  <si>
    <t>2014-04-17</t>
  </si>
  <si>
    <t>서울시 영등포구 문래동3가 54번지 자이아파트 112동 1701호</t>
  </si>
  <si>
    <t>010-8966-7272</t>
  </si>
  <si>
    <t>yschang@in-soft.co.kr</t>
  </si>
  <si>
    <t>(양)84.11.01</t>
  </si>
  <si>
    <t>11.01</t>
  </si>
  <si>
    <t>박상민</t>
  </si>
  <si>
    <t>1145 6679</t>
  </si>
  <si>
    <t>870115-1169618</t>
  </si>
  <si>
    <t>경원대학교</t>
  </si>
  <si>
    <t>경기도 성남시 중원구 상대원2동 2996-8</t>
  </si>
  <si>
    <t>010-2003-5962</t>
  </si>
  <si>
    <t xml:space="preserve">smpark@in-soft.co.kr </t>
  </si>
  <si>
    <t>(양)87.01.15</t>
  </si>
  <si>
    <t>110303</t>
  </si>
  <si>
    <t>권혜련</t>
  </si>
  <si>
    <t>1122 7382</t>
  </si>
  <si>
    <t>880102-2074313</t>
  </si>
  <si>
    <t>세명대학교</t>
  </si>
  <si>
    <t>SCJP5.0</t>
  </si>
  <si>
    <t>서울시 송파구 잠실본동 238-3 302호</t>
  </si>
  <si>
    <t>010-7270-1310</t>
  </si>
  <si>
    <t>hrkwon@in-soft.co.kr</t>
  </si>
  <si>
    <t>(양)88.01.02</t>
  </si>
  <si>
    <t>배윤식</t>
  </si>
  <si>
    <t>1147 1581</t>
  </si>
  <si>
    <t>AI Lab팀</t>
  </si>
  <si>
    <t>891219-1157728</t>
  </si>
  <si>
    <t>한성고등학교</t>
  </si>
  <si>
    <t>서울시 종로구 구기동 117-10번지</t>
  </si>
  <si>
    <t>010-4186-8157</t>
  </si>
  <si>
    <t>ysbae@in-soft.co.kr</t>
  </si>
  <si>
    <t>(양)89.12.19</t>
  </si>
  <si>
    <t>12.19</t>
  </si>
  <si>
    <t>160802</t>
  </si>
  <si>
    <t>김익현</t>
  </si>
  <si>
    <t>1166 6962</t>
  </si>
  <si>
    <t>Cloud Lab팀</t>
  </si>
  <si>
    <t>800224-1473517</t>
  </si>
  <si>
    <t>한신대학교</t>
  </si>
  <si>
    <t>컴퓨터학</t>
  </si>
  <si>
    <t>오산</t>
  </si>
  <si>
    <t>경기도 광명시 새터로 122번길 13</t>
  </si>
  <si>
    <t>010-2181-6926</t>
  </si>
  <si>
    <t>ikhyunkim@in-soft.co.kr</t>
  </si>
  <si>
    <t>(양)80.02.04</t>
  </si>
  <si>
    <t>02.04</t>
  </si>
  <si>
    <t>57</t>
  </si>
  <si>
    <t>160301</t>
  </si>
  <si>
    <t>김경서</t>
  </si>
  <si>
    <t>1162 4226</t>
  </si>
  <si>
    <t>930724-2483820</t>
  </si>
  <si>
    <t>덕성여자대학교</t>
  </si>
  <si>
    <t>컴퓨터</t>
  </si>
  <si>
    <t>SQLD</t>
  </si>
  <si>
    <t>GTQ</t>
  </si>
  <si>
    <t>전북 전주시 완산구  삼천천변1길 46 105동 803호 (삼천동1가, 흥건삼천1차아파트)</t>
  </si>
  <si>
    <t>010-8028-0724</t>
  </si>
  <si>
    <t>kskim@in-soft.co.kr</t>
  </si>
  <si>
    <t>(양)93.07.24</t>
  </si>
  <si>
    <t>7.24</t>
  </si>
  <si>
    <t>150701</t>
  </si>
  <si>
    <t>최명수</t>
  </si>
  <si>
    <t>1150 0847</t>
  </si>
  <si>
    <t>740330-1024811</t>
  </si>
  <si>
    <t>경희대학교</t>
  </si>
  <si>
    <t>국어국문과</t>
  </si>
  <si>
    <t>서울시 관악구 봉천동 649-3 오렌지빌 302호</t>
  </si>
  <si>
    <t>010-4376-8084</t>
  </si>
  <si>
    <t>mschoi@in-soft.co.kr</t>
  </si>
  <si>
    <t>(양)74.03.30</t>
  </si>
  <si>
    <t>3.30</t>
  </si>
  <si>
    <t>34</t>
  </si>
  <si>
    <t>이상욱</t>
  </si>
  <si>
    <t>1133 6405</t>
  </si>
  <si>
    <t>880421-1017711</t>
  </si>
  <si>
    <t>컴퓨터정보통신공학</t>
  </si>
  <si>
    <t>서울시 동작구 사당2동 우성아파트306동 1310호</t>
  </si>
  <si>
    <t>010-8880-1956</t>
  </si>
  <si>
    <t xml:space="preserve">swlee@in-soft.co.kr </t>
  </si>
  <si>
    <t>(양)88.04.21</t>
  </si>
  <si>
    <t>120102</t>
  </si>
  <si>
    <t>박나미</t>
  </si>
  <si>
    <t>1133 6397</t>
  </si>
  <si>
    <t>AI Lab팀 2</t>
  </si>
  <si>
    <t>830629-2069018</t>
  </si>
  <si>
    <t>컴퓨터과학과</t>
  </si>
  <si>
    <t>경기도 일산 동구 중산동 하늘마을 2단지 203동 505호</t>
  </si>
  <si>
    <t>010-8876-1783</t>
  </si>
  <si>
    <t>nmpark@in-soft.co.kr</t>
  </si>
  <si>
    <t>(양)83.06.29</t>
  </si>
  <si>
    <t>160503</t>
  </si>
  <si>
    <t>김백중</t>
  </si>
  <si>
    <t>1156 5271</t>
  </si>
  <si>
    <t>881226-1006111</t>
  </si>
  <si>
    <t>자양고등학교</t>
  </si>
  <si>
    <t>서울시 광진구 화양동 12-11호 B01호</t>
  </si>
  <si>
    <t>010-3202-1226</t>
  </si>
  <si>
    <t>bjkim@in-soft.co.kr</t>
  </si>
  <si>
    <t>(양)88.12.26</t>
  </si>
  <si>
    <t>12.26</t>
  </si>
  <si>
    <t>박승규</t>
  </si>
  <si>
    <t>1097 4546</t>
  </si>
  <si>
    <t>810809-1041114</t>
  </si>
  <si>
    <t>서울전문학교</t>
  </si>
  <si>
    <t>인터넷</t>
  </si>
  <si>
    <t>서울서 서대문구 홍은동 10-29</t>
  </si>
  <si>
    <t>010-2702-5892</t>
  </si>
  <si>
    <t xml:space="preserve">skpark@in-soft.co.kr </t>
  </si>
  <si>
    <t>(음)81.08.09</t>
  </si>
  <si>
    <t>9.09</t>
  </si>
  <si>
    <t>171002</t>
  </si>
  <si>
    <t>임도현</t>
  </si>
  <si>
    <t>770207-1400213</t>
  </si>
  <si>
    <t>서울시 구로구 신도림로 19길 16 현대아파트 101동 401호</t>
  </si>
  <si>
    <t>010-7527-2621</t>
  </si>
  <si>
    <t>dhim@in-soft.co.kr</t>
  </si>
  <si>
    <t>(양)77.02.07</t>
  </si>
  <si>
    <t>02.07</t>
  </si>
  <si>
    <t>53</t>
  </si>
  <si>
    <t>160306</t>
  </si>
  <si>
    <t>조형우</t>
  </si>
  <si>
    <t>1160 9472</t>
  </si>
  <si>
    <t>820218-1850318</t>
  </si>
  <si>
    <t>전기전자전파공학부</t>
  </si>
  <si>
    <t>OCP 8i</t>
  </si>
  <si>
    <t>전기기사</t>
  </si>
  <si>
    <t>서울시 구로구  중앙로 121 102동 1106호 (고척동, 고척파크푸르지오)</t>
  </si>
  <si>
    <t>010-5699-6860</t>
  </si>
  <si>
    <t>hwcho@in-soft.co.kr</t>
  </si>
  <si>
    <t>(양)82.02.18</t>
  </si>
  <si>
    <t>2.18</t>
  </si>
  <si>
    <t>160202</t>
  </si>
  <si>
    <t>임경수</t>
  </si>
  <si>
    <t>1147 3564</t>
  </si>
  <si>
    <t>800812-1026010</t>
  </si>
  <si>
    <t>산업.정보시스템공학</t>
  </si>
  <si>
    <t>IBM Tivoli</t>
  </si>
  <si>
    <t>서울시 동대문구  천호대로 319 1405호(답십리동, 답십리한화오벨리스크)</t>
  </si>
  <si>
    <t>010-8862-4414</t>
  </si>
  <si>
    <t>kslim@in-soft.co.kr</t>
  </si>
  <si>
    <t>(양)80.08.12</t>
  </si>
  <si>
    <t>8.12</t>
  </si>
  <si>
    <t>170301</t>
  </si>
  <si>
    <t>최원준</t>
  </si>
  <si>
    <t>1171 6578</t>
  </si>
  <si>
    <t>691031-5100027</t>
  </si>
  <si>
    <t>산업공학</t>
  </si>
  <si>
    <t>서울 노원구 상계동 670번지 주공 902-808</t>
  </si>
  <si>
    <t>010-5409-1793</t>
  </si>
  <si>
    <t>wjchoi@in-soft.co.kr</t>
  </si>
  <si>
    <t>(양)69.10.31</t>
  </si>
  <si>
    <t>10.31</t>
  </si>
  <si>
    <t>160504</t>
  </si>
  <si>
    <t>목포</t>
  </si>
  <si>
    <t>VERDE certi</t>
  </si>
  <si>
    <t>03.08</t>
  </si>
  <si>
    <t>권홍규</t>
  </si>
  <si>
    <t>1140 9274</t>
  </si>
  <si>
    <t>901126-1149127</t>
  </si>
  <si>
    <t>신송고등학교</t>
  </si>
  <si>
    <t>인천시 송도동 더샵그린 에비뉴701동 202호</t>
  </si>
  <si>
    <t>010-2759-4728</t>
  </si>
  <si>
    <t>hkkwon@in-soft.co.kr</t>
  </si>
  <si>
    <t>(양)90.11.26</t>
  </si>
  <si>
    <t>47</t>
  </si>
  <si>
    <t>151202</t>
  </si>
  <si>
    <t>이춘우</t>
  </si>
  <si>
    <t>1154 5689</t>
  </si>
  <si>
    <t>910821-1454723</t>
  </si>
  <si>
    <t>충남 논산시 내동 제이파크아파트 202동 1403호</t>
  </si>
  <si>
    <t>010-8769-6265</t>
  </si>
  <si>
    <t>cwlee@in-soft.co.kr</t>
  </si>
  <si>
    <t>(양)91.08.21</t>
  </si>
  <si>
    <t>8.21</t>
  </si>
  <si>
    <t>장은혜</t>
  </si>
  <si>
    <t>891225-2063114</t>
  </si>
  <si>
    <t>인천시 계양구 주부토로 520, 가동 106호 (계산동, 원흥아파트)</t>
  </si>
  <si>
    <t>010-5545-9576</t>
  </si>
  <si>
    <t>ehjang@in-soft.co.kr</t>
  </si>
  <si>
    <t>(양)89.09.17</t>
  </si>
  <si>
    <t>9.17</t>
  </si>
  <si>
    <t>090901</t>
  </si>
  <si>
    <t>최기안</t>
  </si>
  <si>
    <t>740228-1663523</t>
  </si>
  <si>
    <t>동의공업대학</t>
  </si>
  <si>
    <t>금형설계</t>
  </si>
  <si>
    <t>서울시 관악구 신림동 516-3</t>
  </si>
  <si>
    <t>010-5275-2938</t>
  </si>
  <si>
    <t>gachoi@in-soft.co.kr</t>
  </si>
  <si>
    <t>(양)74.02.28</t>
  </si>
  <si>
    <t>2.28</t>
  </si>
  <si>
    <t>49</t>
  </si>
  <si>
    <t>160304</t>
  </si>
  <si>
    <t>이연지</t>
  </si>
  <si>
    <t>911224-2035111</t>
  </si>
  <si>
    <t>삼육대학교</t>
  </si>
  <si>
    <t>컴퓨터시스템</t>
  </si>
  <si>
    <t>리눅스 마스터 2급</t>
  </si>
  <si>
    <t>경기도 고양시 일산동구 정발산동 밤가시마을건영빌라5단지아파트 506동 201호</t>
  </si>
  <si>
    <t>010-5584-8382</t>
  </si>
  <si>
    <t>(양)91.12.24</t>
  </si>
  <si>
    <t>12.24</t>
  </si>
  <si>
    <t>160502</t>
  </si>
  <si>
    <t>금종평</t>
  </si>
  <si>
    <t>1102 5654</t>
  </si>
  <si>
    <t>810223-1473617</t>
  </si>
  <si>
    <t>배재대학교</t>
  </si>
  <si>
    <t>경기도 수원시 영통구 광교로 116, 1417호(이의동, 광교 코아루s)</t>
  </si>
  <si>
    <t>010-6865-5370</t>
  </si>
  <si>
    <t>jpkeum@in-soft.co.kr</t>
  </si>
  <si>
    <t>(양)81.02.23</t>
  </si>
  <si>
    <t>02.23</t>
  </si>
  <si>
    <t>180302</t>
  </si>
  <si>
    <t>문성준</t>
  </si>
  <si>
    <t>1182 2063</t>
  </si>
  <si>
    <t>740612-1110511</t>
  </si>
  <si>
    <t>부산카톨릭대학교</t>
  </si>
  <si>
    <t>전산계산</t>
  </si>
  <si>
    <t>부산</t>
  </si>
  <si>
    <t>서울시 광진구 중곡동 102-37</t>
  </si>
  <si>
    <t>010-2034-2068</t>
  </si>
  <si>
    <t>sjmoon@in-soft.co.kr</t>
  </si>
  <si>
    <t>(양)74.06.12</t>
  </si>
  <si>
    <t>06.12</t>
  </si>
  <si>
    <t>최순</t>
  </si>
  <si>
    <t>1133 6409</t>
  </si>
  <si>
    <t>850823-1051514</t>
  </si>
  <si>
    <t>정보통신전자공학부</t>
  </si>
  <si>
    <t>인천시 남동구 논현동 한화에크메트로 702동 1903호</t>
  </si>
  <si>
    <t>010-8372-0505</t>
  </si>
  <si>
    <t xml:space="preserve">schoi@in-soft.co.kr </t>
  </si>
  <si>
    <t>(양)85.08.23</t>
  </si>
  <si>
    <t>170205</t>
  </si>
  <si>
    <t>반소진</t>
  </si>
  <si>
    <t>1178 8993</t>
  </si>
  <si>
    <t>931219-2260313</t>
  </si>
  <si>
    <t>전자통신공학</t>
  </si>
  <si>
    <t>강원</t>
  </si>
  <si>
    <t>서울시 동작구 상도동 290-33 301호</t>
  </si>
  <si>
    <t>010-5612-6784</t>
  </si>
  <si>
    <t>sjban@in-soft.co.kr</t>
  </si>
  <si>
    <t>(양)93.12.19</t>
  </si>
  <si>
    <t>180402</t>
  </si>
  <si>
    <t>1103 1223</t>
  </si>
  <si>
    <t>820218-1149627</t>
  </si>
  <si>
    <t>김포대학</t>
  </si>
  <si>
    <t>멀티미디어</t>
  </si>
  <si>
    <t>인천광역시 부평구 경원대로 1269, 117동604호(현대@)</t>
  </si>
  <si>
    <t>010-7220-4755</t>
  </si>
  <si>
    <t>sanghyeon@in-soft.co.kr</t>
  </si>
  <si>
    <t>02.18</t>
  </si>
  <si>
    <t>170208</t>
  </si>
  <si>
    <t>남승래</t>
  </si>
  <si>
    <t>1106 1880</t>
  </si>
  <si>
    <t>740817-1067511</t>
  </si>
  <si>
    <t>기계공학</t>
  </si>
  <si>
    <t>경기도 하남시 선동 433 110동 1102호</t>
  </si>
  <si>
    <t>010-4916-8861</t>
  </si>
  <si>
    <t>slnam@in-soft.co.kr</t>
  </si>
  <si>
    <t>(양)74.08.17</t>
  </si>
  <si>
    <t>08.17</t>
  </si>
  <si>
    <t>030801</t>
  </si>
  <si>
    <t>권용철</t>
  </si>
  <si>
    <t>1139 0494</t>
  </si>
  <si>
    <t>770420-1019326</t>
  </si>
  <si>
    <t>서울시 관악구 성현동 41-369 우림베스트빌 307호</t>
  </si>
  <si>
    <t>010-8960-9108</t>
  </si>
  <si>
    <t>maverick@in-soft.co.kr</t>
  </si>
  <si>
    <t>(양)77.04.20</t>
  </si>
  <si>
    <t>4.20</t>
  </si>
  <si>
    <t>171001</t>
  </si>
  <si>
    <t>오상영</t>
  </si>
  <si>
    <t>1178 8207</t>
  </si>
  <si>
    <t>690223-1482417</t>
  </si>
  <si>
    <t>경기도 화성시 석우동 동탄반석로 232 신일유토빌A 134-304</t>
  </si>
  <si>
    <t>010-8323-1160</t>
  </si>
  <si>
    <t>syoh@in-soft.co.kr</t>
  </si>
  <si>
    <t>(양)69.02.23</t>
  </si>
  <si>
    <t>110603</t>
  </si>
  <si>
    <t>유원상</t>
  </si>
  <si>
    <t>1141 9142</t>
  </si>
  <si>
    <t>710705-1149116</t>
  </si>
  <si>
    <t>인천시 서구 신현동 신현e편한세상 118동302호</t>
  </si>
  <si>
    <t>010-8517-3817</t>
  </si>
  <si>
    <t>wsryu@in-soft.co.kr</t>
  </si>
  <si>
    <t>(양)71.07.05</t>
  </si>
  <si>
    <t>7.05</t>
  </si>
  <si>
    <t>김상우</t>
  </si>
  <si>
    <t>1085 5643</t>
  </si>
  <si>
    <t>790929-1020211</t>
  </si>
  <si>
    <t>항공대학교</t>
  </si>
  <si>
    <t>경기도 부천시 원미구 상2동 하얀마을 2611동 1001호</t>
  </si>
  <si>
    <t>010-6243-8814</t>
  </si>
  <si>
    <t>swkim@in-soft.co.kr</t>
  </si>
  <si>
    <t>(음)79.09.29</t>
  </si>
  <si>
    <t>10.29</t>
  </si>
  <si>
    <t>161102</t>
  </si>
  <si>
    <t>이동열</t>
  </si>
  <si>
    <t>1167 1569</t>
  </si>
  <si>
    <t>640215-1095011</t>
  </si>
  <si>
    <t>부산대학교</t>
  </si>
  <si>
    <t>경기도 의정부시  입석로70번길 26, 101동 301호(녹양동, 호명산빌리지)</t>
  </si>
  <si>
    <t>010-5775-5224</t>
  </si>
  <si>
    <t>dylee@in-soft.co.kr</t>
  </si>
  <si>
    <t>(양)64.02.15</t>
  </si>
  <si>
    <t>02.15</t>
  </si>
  <si>
    <t>160601</t>
  </si>
  <si>
    <t>1110 4924</t>
  </si>
  <si>
    <t>청주</t>
  </si>
  <si>
    <t>서울시 영등포구 국제금융로 108-6, A동 401호(여의도동, 진주아파트)</t>
  </si>
  <si>
    <t>101209</t>
  </si>
  <si>
    <t>황명일</t>
  </si>
  <si>
    <t>1101 8143</t>
  </si>
  <si>
    <t>750113-1254225</t>
  </si>
  <si>
    <t>대진대학교</t>
  </si>
  <si>
    <t>경기도 부천시 오정구 오정동 726 휴먼시아 209동 402호</t>
  </si>
  <si>
    <t>010-2286-9801</t>
  </si>
  <si>
    <t>mihwang@in-soft.co.kr</t>
  </si>
  <si>
    <t>(양)75.01.13</t>
  </si>
  <si>
    <t>180501</t>
  </si>
  <si>
    <t>홍동일</t>
  </si>
  <si>
    <t>720822-1162614</t>
  </si>
  <si>
    <t>시각디자인</t>
  </si>
  <si>
    <t>경기도 부천시 원미구 상3동 다정한마을 삼성래미안 2113동 804호</t>
  </si>
  <si>
    <t>010-2838-3825</t>
  </si>
  <si>
    <t>dihong@in-soft.co.kr</t>
  </si>
  <si>
    <t>(양)72.08.22</t>
  </si>
  <si>
    <t>8.22</t>
  </si>
  <si>
    <t>180701</t>
  </si>
  <si>
    <t>이광철</t>
  </si>
  <si>
    <t>1129 2917</t>
  </si>
  <si>
    <t>910220-1151618</t>
  </si>
  <si>
    <t>부천대학교</t>
  </si>
  <si>
    <t>E-비즈니스학과</t>
  </si>
  <si>
    <t>인천시 남동구 간석동 호구포로 900번길 6 팰리스타운 704호</t>
  </si>
  <si>
    <t>010-3899-6312</t>
  </si>
  <si>
    <t>kclee@in-soft.co.kr</t>
  </si>
  <si>
    <t>(양)91.02.20</t>
  </si>
  <si>
    <t>2.20</t>
  </si>
  <si>
    <t>161101</t>
  </si>
  <si>
    <t>변학구</t>
  </si>
  <si>
    <t>1152 5314</t>
  </si>
  <si>
    <t>750611-1248018</t>
  </si>
  <si>
    <t>서울시 관악구 낙성대동 1610-10 청솔아트빌 202호</t>
  </si>
  <si>
    <t>010-4227-5022</t>
  </si>
  <si>
    <t>hkbyun@in-soft.co.kr</t>
  </si>
  <si>
    <t>(양)75.06.11</t>
  </si>
  <si>
    <t>06.11</t>
  </si>
  <si>
    <t>160102</t>
  </si>
  <si>
    <t>김준현</t>
  </si>
  <si>
    <t>810209-1920915</t>
  </si>
  <si>
    <t>서울시 양천구 신정4동 966-7번지 501호</t>
  </si>
  <si>
    <t>010-5451-0125</t>
  </si>
  <si>
    <t>junhyun@in-soft.co.kr</t>
  </si>
  <si>
    <t>(양)81.02.09</t>
  </si>
  <si>
    <t>2.09</t>
  </si>
  <si>
    <t>180301</t>
  </si>
  <si>
    <t>김영우</t>
  </si>
  <si>
    <t>1184 6381</t>
  </si>
  <si>
    <t>850916-1058015</t>
  </si>
  <si>
    <t>서울시 금천구 독산로 15, 401호 (시흥동)</t>
  </si>
  <si>
    <t>010-2656-6367</t>
  </si>
  <si>
    <t>ywkim@in-soft.co.kr</t>
  </si>
  <si>
    <t>(음)85.09.16</t>
  </si>
  <si>
    <t>10.24</t>
  </si>
  <si>
    <t>170202</t>
  </si>
  <si>
    <t>박성식</t>
  </si>
  <si>
    <t>1085 4466</t>
  </si>
  <si>
    <t>790716-1057712</t>
  </si>
  <si>
    <t>안양대학교</t>
  </si>
  <si>
    <t>영상처리학과</t>
  </si>
  <si>
    <t>서울시 구로구 오리로22나길 16-43, 101동 302호 (궁동, 라이프타운)</t>
  </si>
  <si>
    <t>010-4518-2647</t>
  </si>
  <si>
    <t>sspark@in-soft.co.kr</t>
  </si>
  <si>
    <t>(양)79.07.16</t>
  </si>
  <si>
    <t>07.16</t>
  </si>
  <si>
    <t>170401</t>
  </si>
  <si>
    <t>이원철</t>
  </si>
  <si>
    <t>1178 8781</t>
  </si>
  <si>
    <t>810621-1093119</t>
  </si>
  <si>
    <t>부산남일고등학교</t>
  </si>
  <si>
    <t>서울시 송파구 백제고분로33길 32-13 302호</t>
  </si>
  <si>
    <t>010-9208-1725</t>
  </si>
  <si>
    <t>wclee@in-soft.co.kr</t>
  </si>
  <si>
    <t>(양)81.06.21</t>
  </si>
  <si>
    <t>06.21</t>
  </si>
  <si>
    <t>170201</t>
  </si>
  <si>
    <t>이상의</t>
  </si>
  <si>
    <t>1169 8356</t>
  </si>
  <si>
    <t>870419-1850511</t>
  </si>
  <si>
    <t>컴퓨터멀티미디어학과</t>
  </si>
  <si>
    <t>서울시 광진구 구의동 220-18번지 3층</t>
  </si>
  <si>
    <t>010-6287-2805</t>
  </si>
  <si>
    <t>selee@in-soft.co.kr</t>
  </si>
  <si>
    <t>(양)87.04.19</t>
  </si>
  <si>
    <t>04.19</t>
  </si>
  <si>
    <t>160303</t>
  </si>
  <si>
    <t>박성호</t>
  </si>
  <si>
    <t>1097 6915</t>
  </si>
  <si>
    <t>870626-1079610</t>
  </si>
  <si>
    <t>세종대학교</t>
  </si>
  <si>
    <t>경기도 고양시 일산서구 주엽2동 문촌마을12단지아파트 1202동 1001호</t>
  </si>
  <si>
    <t>010-3470-3129</t>
  </si>
  <si>
    <t>shpark@in-soft.co.kr</t>
  </si>
  <si>
    <t>(양)87.06.26</t>
  </si>
  <si>
    <t>6.26</t>
  </si>
  <si>
    <t>110501</t>
  </si>
  <si>
    <t>정근배</t>
  </si>
  <si>
    <t>1139 0449</t>
  </si>
  <si>
    <t>751022-1056421</t>
  </si>
  <si>
    <t>부천전문대</t>
  </si>
  <si>
    <t>전자계산기</t>
  </si>
  <si>
    <t>경기도 고양시 일산서구  하이파크로 113, 211동 1003호(덕이동, 하이파크시티일산아이파크2단지)</t>
  </si>
  <si>
    <t>010-4381-1022</t>
  </si>
  <si>
    <t>jjlover@in-soft.co.kr</t>
  </si>
  <si>
    <t>(양)75.10.22</t>
  </si>
  <si>
    <t>10.22</t>
  </si>
  <si>
    <t>170203</t>
  </si>
  <si>
    <t>신윤상</t>
  </si>
  <si>
    <t>1171 0369</t>
  </si>
  <si>
    <t>790220-1080519</t>
  </si>
  <si>
    <t>산업공학과</t>
  </si>
  <si>
    <t>서울시 송파구 바람드리8길 16-1 (풍납1동)</t>
  </si>
  <si>
    <t>010-8948-0891</t>
  </si>
  <si>
    <t>ysshin@in-soft.co.kr</t>
  </si>
  <si>
    <t>(양)79.01.10</t>
  </si>
  <si>
    <t>01.10</t>
  </si>
  <si>
    <t>020110</t>
  </si>
  <si>
    <t>지태현</t>
  </si>
  <si>
    <t>1122 7377</t>
  </si>
  <si>
    <t>총괄</t>
  </si>
  <si>
    <t>741010-1454820</t>
  </si>
  <si>
    <t>대전시 서구 가장동 삼성 나르메 아파트 109동 1403호</t>
  </si>
  <si>
    <t>010-9426-3042</t>
  </si>
  <si>
    <t>chidae2000@in-soft.co.kr</t>
  </si>
  <si>
    <t>(양)74.10.10</t>
  </si>
  <si>
    <t>10.10</t>
  </si>
  <si>
    <t>110601</t>
  </si>
  <si>
    <t>조민수</t>
  </si>
  <si>
    <t>1135 7916</t>
  </si>
  <si>
    <t>751012-1009411</t>
  </si>
  <si>
    <t>서울시 광진구 뚝섬로34길, 9 1612호</t>
  </si>
  <si>
    <t>010-4761-5441</t>
  </si>
  <si>
    <t>mscho@in-soft.co.kr</t>
  </si>
  <si>
    <t>(양)75.10.12</t>
  </si>
  <si>
    <t>10.12</t>
  </si>
  <si>
    <t>박종택</t>
  </si>
  <si>
    <t>1133 6335</t>
  </si>
  <si>
    <t>서비스 사업본부</t>
  </si>
  <si>
    <t>820908-1348029</t>
  </si>
  <si>
    <t>경기도 시흥시 정왕동 금강아파트 114동 801호</t>
  </si>
  <si>
    <t>010-4653-2572</t>
  </si>
  <si>
    <t>jtpark@in-soft.co.kr</t>
  </si>
  <si>
    <t>(양)82.09.08</t>
  </si>
  <si>
    <t>150902</t>
  </si>
  <si>
    <t>1097 3384</t>
  </si>
  <si>
    <t>경기도 용인시 기흥구 언동로 217번길 31, 207동 1605호 (중동, 서해그랑블2차아파트)</t>
  </si>
  <si>
    <t>010-6260-4650</t>
  </si>
  <si>
    <t>(양)76.07.03</t>
  </si>
  <si>
    <t>7.03</t>
  </si>
  <si>
    <t>180901</t>
  </si>
  <si>
    <t>박형민</t>
  </si>
  <si>
    <t>1190 3173</t>
  </si>
  <si>
    <t>870531-1082415</t>
  </si>
  <si>
    <t>가천대학교</t>
  </si>
  <si>
    <t>산업정보시스템공학</t>
  </si>
  <si>
    <t>CISA</t>
  </si>
  <si>
    <t>서울시 관악구 봉천로55길 11-7, 503호(봉천동)</t>
  </si>
  <si>
    <t>010-6245-9624</t>
  </si>
  <si>
    <t>hmpark@in-soft.co.kr</t>
  </si>
  <si>
    <t>(양)87.05.31</t>
  </si>
  <si>
    <t>5.31</t>
  </si>
  <si>
    <t>181105</t>
  </si>
  <si>
    <t>박인규</t>
  </si>
  <si>
    <t>760116-1182611</t>
  </si>
  <si>
    <t>서울시 서초구 방배천로32길 5, 401호</t>
  </si>
  <si>
    <t>010-3319-8880</t>
  </si>
  <si>
    <t>ikpark@in-soft.co.kr</t>
  </si>
  <si>
    <t>(양)76.01.16</t>
  </si>
  <si>
    <t>01.16</t>
  </si>
  <si>
    <t>181106</t>
  </si>
  <si>
    <t>170801</t>
  </si>
  <si>
    <t>1178 8232</t>
  </si>
  <si>
    <t>숭실대학원</t>
  </si>
  <si>
    <t>경기도 안산시 상록구 해양1로 11 대우푸르지오6차 613-101</t>
  </si>
  <si>
    <t>(음)67.12.11</t>
  </si>
  <si>
    <t>01.08</t>
  </si>
  <si>
    <t>170101</t>
  </si>
  <si>
    <t>1146 0026</t>
  </si>
  <si>
    <t>솔루션 사업본부</t>
  </si>
  <si>
    <t>810723-1025925</t>
  </si>
  <si>
    <t>인덕대학</t>
  </si>
  <si>
    <t>시각디자인학과</t>
  </si>
  <si>
    <t>경기도 양주시  독바위로 63-8, 520동 603호 (덕정동, 봉우마을)</t>
  </si>
  <si>
    <t>010-8869-4265</t>
  </si>
  <si>
    <t>bskim@in-soft.co.kr</t>
  </si>
  <si>
    <t>(음)81.07.23</t>
  </si>
  <si>
    <t>181101</t>
  </si>
  <si>
    <t>황재섭</t>
  </si>
  <si>
    <t>750413-1691513</t>
  </si>
  <si>
    <t>경기도 수원시 장안구 하률로 46번길 17, 306-606</t>
  </si>
  <si>
    <t>010-6306-0658</t>
  </si>
  <si>
    <t>jshwang@in-soft.co.kr</t>
  </si>
  <si>
    <t>(양)75.04.13</t>
  </si>
  <si>
    <t>04.13</t>
  </si>
  <si>
    <t>050604</t>
  </si>
  <si>
    <t>김대용</t>
  </si>
  <si>
    <t>1122 7536</t>
  </si>
  <si>
    <t>740106-1057836</t>
  </si>
  <si>
    <t>건축공학</t>
  </si>
  <si>
    <t>경기도 파주시 야당동 240-53 도시농부타운하우스 103동 101호</t>
  </si>
  <si>
    <t>010-9326-4519</t>
  </si>
  <si>
    <t>tommykim@in-soft.co.kr</t>
  </si>
  <si>
    <t>(양)74.01.28</t>
  </si>
  <si>
    <t>1.28</t>
  </si>
  <si>
    <t>181102</t>
  </si>
  <si>
    <t>김의인</t>
  </si>
  <si>
    <t>810531-1051719</t>
  </si>
  <si>
    <t>안경광학과</t>
  </si>
  <si>
    <t>경기도 오산시 내삼미로 40 수청주공 103-402</t>
  </si>
  <si>
    <t>010-8339-4211</t>
  </si>
  <si>
    <t>uikim@in-soft.co.kr</t>
  </si>
  <si>
    <t>(양)81.05.31</t>
  </si>
  <si>
    <t>05.31</t>
  </si>
  <si>
    <t>190205</t>
  </si>
  <si>
    <t>강주성</t>
  </si>
  <si>
    <t>770524-1623615</t>
  </si>
  <si>
    <t>경기도 수원시 장안구 송정로83 102-1202</t>
  </si>
  <si>
    <t>010-8447-0810</t>
  </si>
  <si>
    <t>jskang@in-soft.co.kr</t>
  </si>
  <si>
    <t>(양)77.09.26</t>
  </si>
  <si>
    <t>09.26</t>
  </si>
  <si>
    <t>161002</t>
  </si>
  <si>
    <t>1144 6950</t>
  </si>
  <si>
    <t>서울시 용산구 이촌로88길 15 (이촌동, 왕궁아파트) 4동 205호</t>
  </si>
  <si>
    <t>(양)68.07.02</t>
  </si>
  <si>
    <t>07.02</t>
  </si>
  <si>
    <t>최주헌</t>
  </si>
  <si>
    <t>1133 6341</t>
  </si>
  <si>
    <t>750830-1332719</t>
  </si>
  <si>
    <t>방송통신대학교</t>
  </si>
  <si>
    <t>경기도 부천시 원미구 상1동 반달건영아파트 1801-502</t>
  </si>
  <si>
    <t>010-2925-7822</t>
  </si>
  <si>
    <t>(양)75.08.30</t>
  </si>
  <si>
    <t>8.30</t>
  </si>
  <si>
    <t>181001</t>
  </si>
  <si>
    <t>정대진</t>
  </si>
  <si>
    <t>760806-1001221</t>
  </si>
  <si>
    <t>서울시 영등포구 당산동5가 40 성원아파트 102동 1004호</t>
  </si>
  <si>
    <t>010-3362-6101</t>
  </si>
  <si>
    <t>djjung@in-soft.co.kr</t>
  </si>
  <si>
    <t>(음)76.08.06</t>
  </si>
  <si>
    <t>04.10</t>
  </si>
  <si>
    <t>190203</t>
  </si>
  <si>
    <t>송상민</t>
  </si>
  <si>
    <t>1084 6936</t>
  </si>
  <si>
    <t>760617-1101011</t>
  </si>
  <si>
    <t>인제대학교</t>
  </si>
  <si>
    <t>경기도 용인시 수지구 죽전2동 867-2</t>
  </si>
  <si>
    <t>010-8268-2664</t>
  </si>
  <si>
    <t>smsong@in-soft.co.kr</t>
  </si>
  <si>
    <t>(양)76.06.17</t>
  </si>
  <si>
    <t>6.17</t>
  </si>
  <si>
    <t>180303</t>
  </si>
  <si>
    <t>옥성현</t>
  </si>
  <si>
    <t>850702-1024422</t>
  </si>
  <si>
    <t>평생교육진흥원</t>
  </si>
  <si>
    <t>경기도 고양시 일산서구 고양대로255번길 45, 905동 802호 (대화동 대화마을)</t>
  </si>
  <si>
    <t>010-4335-7638</t>
  </si>
  <si>
    <t>shok@in-soft.co.kr</t>
  </si>
  <si>
    <t>(양)85.07.02</t>
  </si>
  <si>
    <t>190404</t>
  </si>
  <si>
    <t>한동규</t>
  </si>
  <si>
    <t>830929-1018723</t>
  </si>
  <si>
    <t>행정학</t>
  </si>
  <si>
    <t>서울시 송파구 오금로 432 삼환가락아파트 5동 302호</t>
  </si>
  <si>
    <t>010-9205-6994</t>
  </si>
  <si>
    <t>dkhan@in-soft.co.kr</t>
  </si>
  <si>
    <t>(양)83.09.29</t>
  </si>
  <si>
    <t>09.29</t>
  </si>
  <si>
    <t>170209</t>
  </si>
  <si>
    <t>김택종</t>
  </si>
  <si>
    <t>1129 7447</t>
  </si>
  <si>
    <t>700726-1400717</t>
  </si>
  <si>
    <t>대기과학과</t>
  </si>
  <si>
    <t>경기도 고양시 일산서구 대산로 142, 302동 501호 (주엽동, 문촌마을)</t>
  </si>
  <si>
    <t>010-9771-1245</t>
  </si>
  <si>
    <t>tjkim@in-soft.co.kr</t>
  </si>
  <si>
    <t>181003</t>
  </si>
  <si>
    <t xml:space="preserve">인천시 부평구 수변로 115, 101동 605호 (부개동, 백영아파트) </t>
  </si>
  <si>
    <t>(양)84.01.11</t>
  </si>
  <si>
    <t>01.11</t>
  </si>
  <si>
    <t>190102</t>
  </si>
  <si>
    <t>최진원</t>
  </si>
  <si>
    <t>PC Group</t>
  </si>
  <si>
    <t>730510-1337416</t>
  </si>
  <si>
    <t>원광대학교</t>
  </si>
  <si>
    <t>전기공학</t>
  </si>
  <si>
    <t>전북</t>
  </si>
  <si>
    <t>서울시 성북구 솔샘로25길 28, 114동 1901호</t>
  </si>
  <si>
    <t>010-5065-3291</t>
  </si>
  <si>
    <t>jwchoi@in-soft.co.kr</t>
  </si>
  <si>
    <t>(양)73.05.10</t>
  </si>
  <si>
    <t>5.10</t>
  </si>
  <si>
    <t>110204</t>
  </si>
  <si>
    <t>이성호</t>
  </si>
  <si>
    <t>1122 7351</t>
  </si>
  <si>
    <t>831017-1056017</t>
  </si>
  <si>
    <t>서울시 영등포구 여의도동 30-2 삼부아파트 7동 903호</t>
  </si>
  <si>
    <t>010-3212-1288</t>
  </si>
  <si>
    <t>shlee@in-soft.co.kr</t>
  </si>
  <si>
    <t>(양)83.10.17</t>
  </si>
  <si>
    <t>190801</t>
  </si>
  <si>
    <t>유성윤</t>
  </si>
  <si>
    <t>750125-1063518</t>
  </si>
  <si>
    <t>숭실사이버대학교</t>
  </si>
  <si>
    <t>ICT공학부</t>
  </si>
  <si>
    <t>서울시 강서구 양천로57길 36, 512동 1108호</t>
  </si>
  <si>
    <t>010-9491-2717</t>
  </si>
  <si>
    <t>syyoo@in-soft.co.kr</t>
  </si>
  <si>
    <t>(음)75.01.25</t>
  </si>
  <si>
    <t>01.04</t>
  </si>
  <si>
    <t>181002</t>
  </si>
  <si>
    <t>이영석</t>
  </si>
  <si>
    <t>720304-1659617</t>
  </si>
  <si>
    <t>자원공학</t>
  </si>
  <si>
    <t>인천시 남동구 서창남순환로 140, 210-401</t>
  </si>
  <si>
    <t>010-3944-9955</t>
  </si>
  <si>
    <t>yslee@in-soft.co.kr</t>
  </si>
  <si>
    <t>(음)81.03.10</t>
  </si>
  <si>
    <t>신재완</t>
  </si>
  <si>
    <t>830415-1047815</t>
  </si>
  <si>
    <t>서원대학교</t>
  </si>
  <si>
    <t>서울시 도봉구 방학2동 642-33</t>
  </si>
  <si>
    <t>010-7777-7230</t>
  </si>
  <si>
    <t>jwshin@in-soft.co.kr</t>
  </si>
  <si>
    <t>(양)83.04.15</t>
  </si>
  <si>
    <t>180904</t>
  </si>
  <si>
    <t>정종일</t>
  </si>
  <si>
    <t>810414-1170011</t>
  </si>
  <si>
    <t>태원고등학교</t>
  </si>
  <si>
    <t>서울시 송파구 삼전동 91-7번지 204호</t>
  </si>
  <si>
    <t>010-3946-0421</t>
  </si>
  <si>
    <t>jijung@in-soft.co.kr</t>
  </si>
  <si>
    <t>김영주</t>
  </si>
  <si>
    <t>1135 7813</t>
  </si>
  <si>
    <t>710301-1683828</t>
  </si>
  <si>
    <t>서울시 은평구 불광동 북한산힐스테이트 7차 아파트 102동 1503호</t>
  </si>
  <si>
    <t>010-3350-7257</t>
  </si>
  <si>
    <t>yjkim@in-soft.co.kr</t>
  </si>
  <si>
    <t>(양)71.03.01</t>
  </si>
  <si>
    <t>170901</t>
  </si>
  <si>
    <t>한영탁</t>
  </si>
  <si>
    <t>770501-1019417</t>
  </si>
  <si>
    <t>전자및정보공학</t>
  </si>
  <si>
    <t>서울시 서초구 효령로14가길 6. 201호</t>
  </si>
  <si>
    <t>010-9184-7751</t>
  </si>
  <si>
    <t>ythan@in-soft.co.kr</t>
  </si>
  <si>
    <t>(음)77.05.01</t>
  </si>
  <si>
    <t>190202</t>
  </si>
  <si>
    <t>주재성</t>
  </si>
  <si>
    <t>760114-1068214</t>
  </si>
  <si>
    <t>한세대학교</t>
  </si>
  <si>
    <t>신문방송학</t>
  </si>
  <si>
    <t>정보관리기술사</t>
  </si>
  <si>
    <t>정보시스템수석감리원</t>
  </si>
  <si>
    <t>PMP</t>
  </si>
  <si>
    <t>경기도 고양시 일산서구 대산로 53 강선마을4단지 동신아파트 406동 501호</t>
  </si>
  <si>
    <t>010-6824-6081</t>
  </si>
  <si>
    <t>jsju@in-soft.co.kr</t>
  </si>
  <si>
    <t>(양)76.01.14</t>
  </si>
  <si>
    <t>171201</t>
  </si>
  <si>
    <t>김주영</t>
  </si>
  <si>
    <t>1181 0219</t>
  </si>
  <si>
    <t>760117-2683219</t>
  </si>
  <si>
    <t>영진전문대학</t>
  </si>
  <si>
    <t>산업디자인</t>
  </si>
  <si>
    <t>대구</t>
  </si>
  <si>
    <t>경북 경산시 경안로69길 12 104동 1406호 (대평동, 대평그린빌)</t>
  </si>
  <si>
    <t>010-3827-1481</t>
  </si>
  <si>
    <t>86</t>
  </si>
  <si>
    <t>유영민</t>
  </si>
  <si>
    <t>퍼블릭클라우드 사업팀</t>
  </si>
  <si>
    <t>951114-1185029</t>
  </si>
  <si>
    <t>유한대학교</t>
  </si>
  <si>
    <t>정보통신</t>
  </si>
  <si>
    <t>네트워크관리사</t>
  </si>
  <si>
    <t>AWS Architect</t>
  </si>
  <si>
    <t>경기도 부천시 소사로 835, 3동 101호 (원종동, 동문아파트)</t>
  </si>
  <si>
    <t>010-8276-4835</t>
  </si>
  <si>
    <t>ymyu@in-soft.co.kr</t>
  </si>
  <si>
    <t>(양)95.11.14</t>
  </si>
  <si>
    <t>11.14</t>
  </si>
  <si>
    <t>150501</t>
  </si>
  <si>
    <t>김종균</t>
  </si>
  <si>
    <t>1147 1535</t>
  </si>
  <si>
    <t>791203-1144312</t>
  </si>
  <si>
    <t>한국산업기술대학교</t>
  </si>
  <si>
    <t>인천시 남동구 구월로 192 힐스테이트 1101동 1304호</t>
  </si>
  <si>
    <t>010-4184-1716</t>
  </si>
  <si>
    <t>jgkim@in-soft.co.kr</t>
  </si>
  <si>
    <t>(양)79.12.03</t>
  </si>
  <si>
    <t>12.03</t>
  </si>
  <si>
    <t>180902</t>
  </si>
  <si>
    <t>윤재영</t>
  </si>
  <si>
    <t>761220-1067427</t>
  </si>
  <si>
    <t>경기도 성남시 수정구 공원로 322, 102동 1106호 (신흥동, 신동아파라디움아파트)</t>
  </si>
  <si>
    <t>010-7731-1941</t>
  </si>
  <si>
    <t>jyyoon@in-soft.co.kr</t>
  </si>
  <si>
    <t>(음)76.12.20</t>
  </si>
  <si>
    <t>2.05</t>
  </si>
  <si>
    <t>181103</t>
  </si>
  <si>
    <t>윤을로</t>
  </si>
  <si>
    <t>1106 4506</t>
  </si>
  <si>
    <t>720227-1031637</t>
  </si>
  <si>
    <t>대진고등학교</t>
  </si>
  <si>
    <t xml:space="preserve">서울시 노원구 한글비석로 383, 405호 (삼창타워아파트) </t>
  </si>
  <si>
    <t>010-5257-3729</t>
  </si>
  <si>
    <t>eryoon@in-soft.co.kr</t>
  </si>
  <si>
    <t>(양)72.02.27</t>
  </si>
  <si>
    <t>02.27</t>
  </si>
  <si>
    <t>190901</t>
  </si>
  <si>
    <t>이경호</t>
  </si>
  <si>
    <t>1249 7063</t>
  </si>
  <si>
    <t>750115-1030634</t>
  </si>
  <si>
    <t>서울시 동대문구 한천로 248, 204동 2406호</t>
  </si>
  <si>
    <t>010-2564-9514</t>
  </si>
  <si>
    <t>kyungho@in-soft.co.kr</t>
  </si>
  <si>
    <t>(양)75.03.10</t>
  </si>
  <si>
    <t>03.10</t>
  </si>
  <si>
    <t>191201</t>
  </si>
  <si>
    <t>손장락</t>
  </si>
  <si>
    <t>720926-1805513</t>
  </si>
  <si>
    <t>화학공학</t>
  </si>
  <si>
    <t>서울시 성동구 마장로 137, 203동 904호 (상왕십리동, 테즈힐)</t>
  </si>
  <si>
    <t>010-5923-5248</t>
  </si>
  <si>
    <t>crsohn@in-soft.co.kr</t>
  </si>
  <si>
    <t>(음)72.09.26</t>
  </si>
  <si>
    <t>89</t>
  </si>
  <si>
    <t>천성민</t>
  </si>
  <si>
    <t>830514-1080525</t>
  </si>
  <si>
    <t>을지대학교</t>
  </si>
  <si>
    <t>안전시스템</t>
  </si>
  <si>
    <t>경기도 용인시 수지구 수풍로 90 삼성4차 105동 607호</t>
  </si>
  <si>
    <t>010-2952-6853</t>
  </si>
  <si>
    <t>smchun@in-soft.co.kr</t>
  </si>
  <si>
    <t>(양)85.05.14</t>
  </si>
  <si>
    <t>05.14</t>
  </si>
  <si>
    <t>94</t>
  </si>
  <si>
    <t>천의진</t>
  </si>
  <si>
    <t>890828-1069016</t>
  </si>
  <si>
    <t>한국폴리텍I대학</t>
  </si>
  <si>
    <t>통신전자과</t>
  </si>
  <si>
    <t>서울시 강서구 화곡3동 1144번지 우림아파트 301호</t>
  </si>
  <si>
    <t>010-7401-3119</t>
  </si>
  <si>
    <t>ejcheon@in-soft.co.kr</t>
  </si>
  <si>
    <t>(양)89.08.28</t>
  </si>
  <si>
    <t>08.28</t>
  </si>
  <si>
    <t>190301</t>
  </si>
  <si>
    <t>김병관</t>
  </si>
  <si>
    <t>800812-1047718</t>
  </si>
  <si>
    <t>경기도 시흥시 은행동 대우3차 아파트 306동 1406호</t>
  </si>
  <si>
    <t>010-6286-3793</t>
  </si>
  <si>
    <t>byungkwan@in-soft.co.kr</t>
  </si>
  <si>
    <t>08.12</t>
  </si>
  <si>
    <t>이재성</t>
  </si>
  <si>
    <t>1005 8694</t>
  </si>
  <si>
    <t>800710-1928114</t>
  </si>
  <si>
    <t>서울시 관악구 봉천로 454 미래오피스텔 1002호</t>
  </si>
  <si>
    <t>010-8981-0744</t>
  </si>
  <si>
    <t>jslee@in-soft.co.kr</t>
  </si>
  <si>
    <t>(양)80.07.10</t>
  </si>
  <si>
    <t>7.10</t>
  </si>
  <si>
    <t>홍성민</t>
  </si>
  <si>
    <t>740131-1345311</t>
  </si>
  <si>
    <t>삼척대학교</t>
  </si>
  <si>
    <t>신소재공학</t>
  </si>
  <si>
    <t>인천시 서구 완정로 34번길 31, 우림필유아파트 104-1002호</t>
  </si>
  <si>
    <t>010-9488-5545</t>
  </si>
  <si>
    <t>smhong@in-soft.co.kr</t>
  </si>
  <si>
    <t>(양)74.01.31</t>
  </si>
  <si>
    <t>01.31</t>
  </si>
  <si>
    <t>88</t>
  </si>
  <si>
    <t>김병철</t>
  </si>
  <si>
    <t>761225-1466425</t>
  </si>
  <si>
    <t>수원대학교</t>
  </si>
  <si>
    <t>전자재료공학</t>
  </si>
  <si>
    <t>Oracle</t>
  </si>
  <si>
    <t>서울시 관악구 신림동 409-200  205호</t>
  </si>
  <si>
    <t>010-2905-1175</t>
  </si>
  <si>
    <t>bckim@in-soft.co.kr</t>
  </si>
  <si>
    <t>(양)76.12.25</t>
  </si>
  <si>
    <t>12.25</t>
  </si>
  <si>
    <t>97</t>
  </si>
  <si>
    <t>송선왕</t>
  </si>
  <si>
    <t>840703-1151124</t>
  </si>
  <si>
    <t>숭실대학교전산원</t>
  </si>
  <si>
    <t>멀티미디어학</t>
  </si>
  <si>
    <t>사무자동화산업기사</t>
  </si>
  <si>
    <t>서울시 구로구 시흥대로161가길 23-7 성심 701호</t>
  </si>
  <si>
    <t>010-8714-9591</t>
  </si>
  <si>
    <t>swsong@in-soft.co.kr</t>
  </si>
  <si>
    <t>(양)84.07.03</t>
  </si>
  <si>
    <t>07.03</t>
  </si>
  <si>
    <t>102</t>
  </si>
  <si>
    <t>김종은</t>
  </si>
  <si>
    <t>871104-1182419</t>
  </si>
  <si>
    <t>서울사이버대학교</t>
  </si>
  <si>
    <t>컴퓨터그래픽스운용기능사</t>
  </si>
  <si>
    <t>경기도 부천시 소안로73번길 45, 나동 502호 (소사본동, 동양센스빌)</t>
  </si>
  <si>
    <t>010-6644-3955</t>
  </si>
  <si>
    <t>jekim@in-soft.co.kr</t>
  </si>
  <si>
    <t>(양)87.11.04</t>
  </si>
  <si>
    <t>11.04</t>
  </si>
  <si>
    <t>김동곤</t>
  </si>
  <si>
    <t>790910-1552319</t>
  </si>
  <si>
    <t>OCP</t>
  </si>
  <si>
    <t>경기도 용인시 기흥구 마북동 연원APT 104동 604호</t>
  </si>
  <si>
    <t>010-8604-2167</t>
  </si>
  <si>
    <t>dgkim@in-soft.co.kr</t>
  </si>
  <si>
    <t>(양)79.09.10</t>
  </si>
  <si>
    <t>09.10</t>
  </si>
  <si>
    <t>105</t>
  </si>
  <si>
    <t>김재원</t>
  </si>
  <si>
    <t>791003-1001112</t>
  </si>
  <si>
    <t>경기도 고양시 일산동구 풍동 은행마을 1단지 102동 701호</t>
  </si>
  <si>
    <t>010-9520-7472</t>
  </si>
  <si>
    <t>jwkim@in-soft.co.kr</t>
  </si>
  <si>
    <t>(양)79.10.03</t>
  </si>
  <si>
    <t>10.03</t>
  </si>
  <si>
    <t>김운호</t>
  </si>
  <si>
    <t>730405-1069119</t>
  </si>
  <si>
    <t>서울시 강서구 마곡동로10길 23, 954호 (마곡파크뷰대방디엠시티오피스텔)</t>
  </si>
  <si>
    <t>010-2787-1885</t>
  </si>
  <si>
    <t>uhkim@in-soft.co.kr</t>
  </si>
  <si>
    <t>(양)73.04.05</t>
  </si>
  <si>
    <t>04.05</t>
  </si>
  <si>
    <t>심재옥</t>
  </si>
  <si>
    <t>750822-1064213</t>
  </si>
  <si>
    <t>강동대학교</t>
  </si>
  <si>
    <t>충북</t>
  </si>
  <si>
    <t>경기도 수원시 장안구 만석로 20번길 28, 635동 2003호</t>
  </si>
  <si>
    <t>010-9022-6200</t>
  </si>
  <si>
    <t>joshim@in-soft.co.kr</t>
  </si>
  <si>
    <t>(양)75.08.22</t>
  </si>
  <si>
    <t>08.22</t>
  </si>
  <si>
    <t>191103</t>
  </si>
  <si>
    <t>강도안</t>
  </si>
  <si>
    <t>730611-1644011</t>
  </si>
  <si>
    <t>노어노문학</t>
  </si>
  <si>
    <t>서울시 영등포구 가마산로46길 10-7, 401호</t>
  </si>
  <si>
    <t>010-7407-0928</t>
  </si>
  <si>
    <t>kda@in-soft.co.kr</t>
  </si>
  <si>
    <t>(양)73.06.11</t>
  </si>
  <si>
    <t>101</t>
  </si>
  <si>
    <t>PM</t>
  </si>
  <si>
    <t>박선후</t>
  </si>
  <si>
    <t>PSO &amp; 서비스 사업2본부</t>
  </si>
  <si>
    <t>720702-1005012</t>
  </si>
  <si>
    <t>지식경영학</t>
  </si>
  <si>
    <t>경기도 안양시 동안구 부림로 113, 1801호</t>
  </si>
  <si>
    <t>010-3168-8791</t>
  </si>
  <si>
    <t>psh@in-soft.co.kr</t>
  </si>
  <si>
    <t>(음)72.07.02</t>
  </si>
  <si>
    <t>77</t>
  </si>
  <si>
    <t>장준형</t>
  </si>
  <si>
    <t>950313-1069411</t>
  </si>
  <si>
    <t>경인고등학교</t>
  </si>
  <si>
    <t>이과</t>
  </si>
  <si>
    <t>경기도 부천시 원미구 원미로 89번길 42 5-A동 101호</t>
  </si>
  <si>
    <t>010-9513-2509</t>
  </si>
  <si>
    <t>jhjang@in-soft.co.kr</t>
  </si>
  <si>
    <t>(양)95.03.13</t>
  </si>
  <si>
    <t>03.13</t>
  </si>
  <si>
    <t>92</t>
  </si>
  <si>
    <t>박연실</t>
  </si>
  <si>
    <t>740403-2657237</t>
  </si>
  <si>
    <t>인사조직</t>
  </si>
  <si>
    <t>서울시 영등포구 신길3동 355-287 2층</t>
  </si>
  <si>
    <t>010-8996-2403</t>
  </si>
  <si>
    <t>espark@in-soft.co.kr</t>
  </si>
  <si>
    <t>(음)74.04.03</t>
  </si>
  <si>
    <t>04.03</t>
  </si>
  <si>
    <t>100</t>
  </si>
  <si>
    <t>곽영신</t>
  </si>
  <si>
    <t>780323-1000213</t>
  </si>
  <si>
    <t>경기도 안산시 상록구 성안3길 16 (101호)</t>
  </si>
  <si>
    <t>010-8714-0236</t>
  </si>
  <si>
    <t>yskwak@in-soft.co.kr</t>
  </si>
  <si>
    <t>(양)78.03.23</t>
  </si>
  <si>
    <t>03.23</t>
  </si>
  <si>
    <t>93</t>
  </si>
  <si>
    <t>한동균</t>
  </si>
  <si>
    <t>871005-1522212</t>
  </si>
  <si>
    <t>전북대학교</t>
  </si>
  <si>
    <t>수학교육과</t>
  </si>
  <si>
    <t>리눅스마스터2급</t>
  </si>
  <si>
    <t>ADsP</t>
  </si>
  <si>
    <t>서울시 송파구 도곡로64길 7-1 파로스오피스텔 305호</t>
  </si>
  <si>
    <t>010-4277-6985</t>
  </si>
  <si>
    <t>dghan@in-soft.co.kr</t>
  </si>
  <si>
    <t>(양)87.10.05</t>
  </si>
  <si>
    <t>10.05</t>
  </si>
  <si>
    <t>170802</t>
  </si>
  <si>
    <t>전용우</t>
  </si>
  <si>
    <t>1178 8511</t>
  </si>
  <si>
    <t>890206-1033019</t>
  </si>
  <si>
    <t>컴퓨터정보공학</t>
  </si>
  <si>
    <t>서울시 용산구 백범로 282 3층</t>
  </si>
  <si>
    <t>010-4474-7877</t>
  </si>
  <si>
    <t>ywchon@in-soft.co.kr</t>
  </si>
  <si>
    <t>(양)89.02.06</t>
  </si>
  <si>
    <t>02.06</t>
  </si>
  <si>
    <t>181202</t>
  </si>
  <si>
    <t>임주영</t>
  </si>
  <si>
    <t>1158 9690</t>
  </si>
  <si>
    <t>770127-1451012</t>
  </si>
  <si>
    <t>인천시 부평구 원적로 361, 한화아파트 101동 903호</t>
  </si>
  <si>
    <t>010-9127-5119</t>
  </si>
  <si>
    <t>jylim@in-soft.co.kr</t>
  </si>
  <si>
    <t>(양)77.01.27</t>
  </si>
  <si>
    <t>김동한</t>
  </si>
  <si>
    <t>800316-1055815</t>
  </si>
  <si>
    <t>동양공업전문대학</t>
  </si>
  <si>
    <t>인터넷정보전공</t>
  </si>
  <si>
    <t>경기도 고양시 일산서구 성저로9, 507동 104호</t>
  </si>
  <si>
    <t>010-9097-4536</t>
  </si>
  <si>
    <t>dhkim@in-soft.co.kr</t>
  </si>
  <si>
    <t>(음)80.03.16</t>
  </si>
  <si>
    <t>03.16</t>
  </si>
  <si>
    <t>116</t>
  </si>
  <si>
    <t>TA</t>
  </si>
  <si>
    <t>한만권</t>
  </si>
  <si>
    <t>서비스 사업2본부</t>
  </si>
  <si>
    <t>760120-1467118</t>
  </si>
  <si>
    <t>서일전문대학</t>
  </si>
  <si>
    <t>산업시스템경영</t>
  </si>
  <si>
    <t>경기도 군포시 고산로677번길 34 1322동 1105호(산본동, 개나리@)</t>
  </si>
  <si>
    <t>010-8706-8438</t>
  </si>
  <si>
    <t>mkhan@in-soft.co.kr</t>
  </si>
  <si>
    <t>(음)75.04.05</t>
  </si>
  <si>
    <t>151203</t>
  </si>
  <si>
    <t>김남호</t>
  </si>
  <si>
    <t>1123 3371</t>
  </si>
  <si>
    <t>811216-1852411</t>
  </si>
  <si>
    <t>서울시 구로구 오류2동 156-86 우남산장맨션 202호</t>
  </si>
  <si>
    <t>010-9991-7193</t>
  </si>
  <si>
    <t>nhkim@in-soft.co.kr</t>
  </si>
  <si>
    <t>(양)81.12.16</t>
  </si>
  <si>
    <t>12.16</t>
  </si>
  <si>
    <t>190403</t>
  </si>
  <si>
    <t>이세찬</t>
  </si>
  <si>
    <t>1249 2635</t>
  </si>
  <si>
    <t>931012-1182911</t>
  </si>
  <si>
    <t>호텔외식조리</t>
  </si>
  <si>
    <t xml:space="preserve">경기도 부천시  원미로144번길 51, 103동 403호 (원미동, 두산아파트)  </t>
  </si>
  <si>
    <t>010-4044-2417</t>
  </si>
  <si>
    <t>sclee@in-soft.co.kr</t>
  </si>
  <si>
    <t>(양)93.10.12</t>
  </si>
  <si>
    <t>107</t>
  </si>
  <si>
    <t>정인영</t>
  </si>
  <si>
    <t>840524-2183614</t>
  </si>
  <si>
    <t>e-비즈니스와</t>
  </si>
  <si>
    <t>경기도 부천시 신흥로73번길 76, 2동 203호</t>
  </si>
  <si>
    <t>010-8060-5024</t>
  </si>
  <si>
    <t>iyjung@in-soft.co.kr</t>
  </si>
  <si>
    <t>(양)84.05.24</t>
  </si>
  <si>
    <t>05.24</t>
  </si>
  <si>
    <t>91</t>
  </si>
  <si>
    <t>김철수</t>
  </si>
  <si>
    <t>670609-1452433</t>
  </si>
  <si>
    <t>관현악과</t>
  </si>
  <si>
    <t>경기도 성남시 분당구 구미로 115, 602동 1503호 (구미동, 무지개마을)</t>
  </si>
  <si>
    <t>010-3743-8673</t>
  </si>
  <si>
    <t>cskim@in-soft.co.kr</t>
  </si>
  <si>
    <t>(양)67.06.09</t>
  </si>
  <si>
    <t>06.09</t>
  </si>
  <si>
    <t>박만수</t>
  </si>
  <si>
    <t>801227-1155912</t>
  </si>
  <si>
    <t>대덕대학교</t>
  </si>
  <si>
    <t>정보통신응용</t>
  </si>
  <si>
    <t>대전시 유성구 지족로92 에코타운 영무예다음 112동 702호</t>
  </si>
  <si>
    <t>010-2401-7642</t>
  </si>
  <si>
    <t>mspark@in-soft.co.kr</t>
  </si>
  <si>
    <t>(양)80.12.27</t>
  </si>
  <si>
    <t>12.27</t>
  </si>
  <si>
    <t>박성현</t>
  </si>
  <si>
    <t>1255 5054</t>
  </si>
  <si>
    <t>820814-1536115</t>
  </si>
  <si>
    <t>전자기기기능사</t>
  </si>
  <si>
    <t>서울시 양천구 목동중앙본로2길 38-40 성재캐슬빌 301호</t>
  </si>
  <si>
    <t>010-5442-9349</t>
  </si>
  <si>
    <t>(양)82.08.14</t>
  </si>
  <si>
    <t>08.14</t>
  </si>
  <si>
    <t>승인</t>
  </si>
  <si>
    <t>이수</t>
  </si>
  <si>
    <t>104</t>
  </si>
  <si>
    <t>김윤석</t>
  </si>
  <si>
    <t>740327-1559513</t>
  </si>
  <si>
    <t>전산정보관리학</t>
  </si>
  <si>
    <t>서울시 서초구 동광로19길 17-12, 302호 (방배동)</t>
  </si>
  <si>
    <t>010-8890-0225</t>
  </si>
  <si>
    <t>yskim@in-soft.co.kr</t>
  </si>
  <si>
    <t>(양)74.03.27</t>
  </si>
  <si>
    <t>03.27</t>
  </si>
  <si>
    <t>114</t>
  </si>
  <si>
    <t>정순용</t>
  </si>
  <si>
    <t>731127-1921217</t>
  </si>
  <si>
    <t>서울시 구로구 가마산로27길 34, 403호 (구로동, 동도아르떼빌아파트)</t>
  </si>
  <si>
    <t>010-2070-5631</t>
  </si>
  <si>
    <t>syjung@in-soft.co.kr</t>
  </si>
  <si>
    <t>(음)73.08.04</t>
  </si>
  <si>
    <t>08.04</t>
  </si>
  <si>
    <t>190402</t>
  </si>
  <si>
    <t>김휘진</t>
  </si>
  <si>
    <t>901103-1126316</t>
  </si>
  <si>
    <t>동서대학교</t>
  </si>
  <si>
    <t>서울시 관악구 봉천로 13길 63 유송몽블랑 405호</t>
  </si>
  <si>
    <t>010-3076-7991</t>
  </si>
  <si>
    <t>hjkim@in-soft.co.kr</t>
  </si>
  <si>
    <t>(양)90.11.03</t>
  </si>
  <si>
    <t>11.03</t>
  </si>
  <si>
    <t>99</t>
  </si>
  <si>
    <t>정인서</t>
  </si>
  <si>
    <t>731130-1000110</t>
  </si>
  <si>
    <t>경기도 수원시 영통구 인계로 219, 1동 1511호</t>
  </si>
  <si>
    <t>010-9073-9138</t>
  </si>
  <si>
    <t>isjung@in-soft.co.kr</t>
  </si>
  <si>
    <t>(양)73.11.30</t>
  </si>
  <si>
    <t>11.30</t>
  </si>
  <si>
    <t>051201</t>
  </si>
  <si>
    <t>진기종</t>
  </si>
  <si>
    <t>1139 0296</t>
  </si>
  <si>
    <t>771021-1047010</t>
  </si>
  <si>
    <t>연세대학교</t>
  </si>
  <si>
    <t>경기도 부천시 소사구 범안로 81, 110동 2301호</t>
  </si>
  <si>
    <t>010-2280-4906</t>
  </si>
  <si>
    <t>gustyjin@in-soft.co.kr</t>
  </si>
  <si>
    <t>(양)77.10.21</t>
  </si>
  <si>
    <t>110</t>
  </si>
  <si>
    <t>서울시 양천구 신정중앙로12, 402호</t>
  </si>
  <si>
    <t>(양)85.10.29</t>
  </si>
  <si>
    <t>108</t>
  </si>
  <si>
    <t>홍진석</t>
  </si>
  <si>
    <t>961125-1852816</t>
  </si>
  <si>
    <t>ICT폴리텍대학</t>
  </si>
  <si>
    <t>스마트통신학</t>
  </si>
  <si>
    <t>리눅스2급</t>
  </si>
  <si>
    <t>인천시 부평구 경인로 1006-8</t>
  </si>
  <si>
    <t>010-3171-0972</t>
  </si>
  <si>
    <t>jshong@in-soft.co.kr</t>
  </si>
  <si>
    <t>(양)96.11.25</t>
  </si>
  <si>
    <t>11.25</t>
  </si>
  <si>
    <t>강훈희</t>
  </si>
  <si>
    <t>870115-1253511</t>
  </si>
  <si>
    <t>정보통신과</t>
  </si>
  <si>
    <t>인터넷정보검색사</t>
  </si>
  <si>
    <t>서울시 영등포구 선유로9길 30, 102동 1407호 (문래동6가, 문래롯데캐슬)</t>
  </si>
  <si>
    <t>010-9424-2444</t>
  </si>
  <si>
    <t>hhkang@in-soft.co.kr</t>
  </si>
  <si>
    <t>01.15</t>
  </si>
  <si>
    <t>180903</t>
  </si>
  <si>
    <t>유수경</t>
  </si>
  <si>
    <t>1012 8315</t>
  </si>
  <si>
    <t>761010-2405210</t>
  </si>
  <si>
    <t>숙명여자대학교</t>
  </si>
  <si>
    <t>서울시 영등포구 도신로 29길 28 푸르지오 APT 215동 503호</t>
  </si>
  <si>
    <t>010-2760-3042</t>
  </si>
  <si>
    <t>skyu@in-soft.co.kr</t>
  </si>
  <si>
    <t>(양)76.10.10</t>
  </si>
  <si>
    <t>106</t>
  </si>
  <si>
    <t>이정일</t>
  </si>
  <si>
    <t>700222-1030211</t>
  </si>
  <si>
    <t>경기도 남양주시 별내면 청학로 68번길 6 청학주공아파트 510동 102호</t>
  </si>
  <si>
    <t>010-3124-5090</t>
  </si>
  <si>
    <t>(음)70.02.22</t>
  </si>
  <si>
    <t>02.22</t>
  </si>
  <si>
    <t>115</t>
  </si>
  <si>
    <t>한성우</t>
  </si>
  <si>
    <t>920924-1085123</t>
  </si>
  <si>
    <t>한국폴리텍대학</t>
  </si>
  <si>
    <t>패션메이킹과</t>
  </si>
  <si>
    <t>서울시 강서구 금낭화로23길 25, 603동 704호</t>
  </si>
  <si>
    <t>010-4111-1729</t>
  </si>
  <si>
    <t>swhan@in-soft.co.kr</t>
  </si>
  <si>
    <t>(양)92.09.24</t>
  </si>
  <si>
    <t>09.24</t>
  </si>
  <si>
    <t>190204</t>
  </si>
  <si>
    <t>이정원</t>
  </si>
  <si>
    <t>901220-2035215</t>
  </si>
  <si>
    <t>백석예술대학</t>
  </si>
  <si>
    <t>관광경영</t>
  </si>
  <si>
    <t>경기도 화성시 병점동 안화동마을 주공7단지 706-103</t>
  </si>
  <si>
    <t>010-3923-1220</t>
  </si>
  <si>
    <t>jungwon@in-soft.co.kr</t>
  </si>
  <si>
    <t>(양)90.12.20</t>
  </si>
  <si>
    <t>12.20</t>
  </si>
  <si>
    <t>109</t>
  </si>
  <si>
    <t>한주영</t>
  </si>
  <si>
    <t>970513-2167528</t>
  </si>
  <si>
    <t>정보통신시스템</t>
  </si>
  <si>
    <t>서울시 마포구 월드컵북로 47길10  1단지 106-504</t>
  </si>
  <si>
    <t>010-4784-8641</t>
  </si>
  <si>
    <t>jyhan@in-soft.co.kr</t>
  </si>
  <si>
    <t>(양)97.05.13</t>
  </si>
  <si>
    <t>05.13</t>
  </si>
  <si>
    <t>191001</t>
  </si>
  <si>
    <t>이보람</t>
  </si>
  <si>
    <t>900815-2058827</t>
  </si>
  <si>
    <t>동북아국제통상</t>
  </si>
  <si>
    <t>서울시 서초구 사임당로 38</t>
  </si>
  <si>
    <t>010-6264-8072</t>
  </si>
  <si>
    <t>brlee@in-soft.co.kr</t>
  </si>
  <si>
    <t>(양)90.08.15</t>
  </si>
  <si>
    <t>08.15</t>
  </si>
  <si>
    <t>113</t>
  </si>
  <si>
    <t>조희건</t>
  </si>
  <si>
    <t>서비스 사업1본부</t>
  </si>
  <si>
    <t>970509-1058221</t>
  </si>
  <si>
    <t>동양미래대학</t>
  </si>
  <si>
    <t>인천시 부평구 새갈로57, 104동 102호</t>
  </si>
  <si>
    <t>010-3940-6688</t>
  </si>
  <si>
    <t>hgjo@in-soft.co.kr</t>
  </si>
  <si>
    <t>(양)97.05.09</t>
  </si>
  <si>
    <t>05.09</t>
  </si>
  <si>
    <t>박상위</t>
  </si>
  <si>
    <t>721211-2703814</t>
  </si>
  <si>
    <t>서울시 도봉구 쌍문동 523-23, 송학에버빌 B동 402호</t>
  </si>
  <si>
    <t>010-7360-4620</t>
  </si>
  <si>
    <t>swpark@in-soft.co.kr</t>
  </si>
  <si>
    <t>(양)72.12.11</t>
  </si>
  <si>
    <t>12.11</t>
  </si>
  <si>
    <t>040102</t>
  </si>
  <si>
    <t>경민성</t>
  </si>
  <si>
    <t>1122 7359</t>
  </si>
  <si>
    <t>740110-1053018</t>
  </si>
  <si>
    <t>경기도 고양시 일산서구 고양대로 685 101동 203호 (일산동, 일산1차현대홈타운)</t>
  </si>
  <si>
    <t>010-4358-3329</t>
  </si>
  <si>
    <t>wildfire1974@in-soft.co.kr</t>
  </si>
  <si>
    <t>(양)73.12.22</t>
  </si>
  <si>
    <t>12.22</t>
  </si>
  <si>
    <t>채희성</t>
  </si>
  <si>
    <t>930721-1032521</t>
  </si>
  <si>
    <t>리눅스마스터 2급</t>
  </si>
  <si>
    <t>경기도 김포시 장릉로 56, 103동 301호 (풍무동, 김포길훈아파트)</t>
  </si>
  <si>
    <t>010-7356-8662</t>
  </si>
  <si>
    <t>hschae@in-soft.co.kr</t>
  </si>
  <si>
    <t>(양)93.07.21</t>
  </si>
  <si>
    <t>07.21</t>
  </si>
  <si>
    <t>정주영</t>
  </si>
  <si>
    <t>880608-2029531</t>
  </si>
  <si>
    <t>서울시 강북구 번동 417-66</t>
  </si>
  <si>
    <t>010-6252-2747</t>
  </si>
  <si>
    <t>jyjung@in-soft.co.kr</t>
  </si>
  <si>
    <t>(양)88.06.08</t>
  </si>
  <si>
    <t>06.08</t>
  </si>
  <si>
    <t>124</t>
  </si>
  <si>
    <t>김남운</t>
  </si>
  <si>
    <t>731129-1012313</t>
  </si>
  <si>
    <t>서울산업대학교</t>
  </si>
  <si>
    <t>공업디자인</t>
  </si>
  <si>
    <t>경기도 남양주시 화도읍 경춘로1842번길 36-1, 102동 607호 (삼신아파트)</t>
  </si>
  <si>
    <t>010-7363-3916</t>
  </si>
  <si>
    <t>nwkim@in-soft.co.kr</t>
  </si>
  <si>
    <t>(음)73.11.29</t>
  </si>
  <si>
    <t>정다솜</t>
  </si>
  <si>
    <t>950410-2165015</t>
  </si>
  <si>
    <t>음악교육</t>
  </si>
  <si>
    <t>경기도 의왕시 까치골1길 14, 101호 (삼동, 서광빌라)</t>
  </si>
  <si>
    <t>010-6689-4010</t>
  </si>
  <si>
    <t>dsjeong@in-soft.co.kr</t>
  </si>
  <si>
    <t>(양)96.04.10</t>
  </si>
  <si>
    <t>117</t>
  </si>
  <si>
    <t>영업</t>
  </si>
  <si>
    <t>김정원</t>
  </si>
  <si>
    <t>730505-1037531</t>
  </si>
  <si>
    <t>경기도 파주시  심학산로 385, 1014동 1201호 (목동동, 운정신도시센트럴푸르지오)</t>
  </si>
  <si>
    <t>010-6313-3051</t>
  </si>
  <si>
    <t>(양)73.01.29</t>
  </si>
  <si>
    <t>01.29</t>
  </si>
  <si>
    <t>181104</t>
  </si>
  <si>
    <t>이희천</t>
  </si>
  <si>
    <t>1122 5148</t>
  </si>
  <si>
    <t>740325-1522211</t>
  </si>
  <si>
    <t>대전시 유성구 지족로148번길 22, LH네이처뷰 308동 1801호</t>
  </si>
  <si>
    <t>010-7238-4686</t>
  </si>
  <si>
    <t>hclee@in-soft.co.kr</t>
  </si>
  <si>
    <t>(음)74.03.25</t>
  </si>
  <si>
    <t>81</t>
  </si>
  <si>
    <t>고경민</t>
  </si>
  <si>
    <t>770204-1231712</t>
  </si>
  <si>
    <t>경기도 고양시 일산서구 원일로21번길 22, 111동 1001호</t>
  </si>
  <si>
    <t>010-2995-9177</t>
  </si>
  <si>
    <t>kmko@in-soft.co.kr</t>
  </si>
  <si>
    <t>(양)77.02.04</t>
  </si>
  <si>
    <t>080502</t>
  </si>
  <si>
    <t>허민</t>
  </si>
  <si>
    <t>1122 7540</t>
  </si>
  <si>
    <t>840330-1567215</t>
  </si>
  <si>
    <t>경기도 파주시 송학길 30-7, 106동 302호 (야당동, 아이하우스)</t>
  </si>
  <si>
    <t>010-4544-1035</t>
  </si>
  <si>
    <t>hur0330@in-soft.co.kr</t>
  </si>
  <si>
    <t>(양)84.03.30</t>
  </si>
  <si>
    <t>132</t>
  </si>
  <si>
    <t>220604</t>
  </si>
  <si>
    <t>이종영</t>
  </si>
  <si>
    <t>영업본부</t>
  </si>
  <si>
    <t>700928-1808021</t>
  </si>
  <si>
    <t xml:space="preserve">서울시 마포구 월드컵로 30길 37 401호
</t>
  </si>
  <si>
    <t>010-8944-8932</t>
  </si>
  <si>
    <t>jylee@in-soft.co.kr</t>
  </si>
  <si>
    <t>(음)70.09.28</t>
  </si>
  <si>
    <t>김의연</t>
  </si>
  <si>
    <t>840327-1853123</t>
  </si>
  <si>
    <t>울산대학교</t>
  </si>
  <si>
    <t>디지털콘텐츠디자인</t>
  </si>
  <si>
    <t>울산</t>
  </si>
  <si>
    <t>경기도 고양시 일산동구 호수로 340-25, 202동 413호</t>
  </si>
  <si>
    <t>010-3714-8782</t>
  </si>
  <si>
    <t>eykim@in-soft.co.kr</t>
  </si>
  <si>
    <t>(양)84.03.27</t>
  </si>
  <si>
    <t>이정훈</t>
  </si>
  <si>
    <t>어플리케이션 현대화 사업본부</t>
  </si>
  <si>
    <t>970419-1853714</t>
  </si>
  <si>
    <t>스마트융합제어과</t>
  </si>
  <si>
    <t>울산시 동구  월봉11길 76, 102호 (방어동, 우진빌라5차)</t>
  </si>
  <si>
    <t>010-4179-0495</t>
  </si>
  <si>
    <t>ljh@in-soft.co.kr</t>
  </si>
  <si>
    <t>(양)97.04.19</t>
  </si>
  <si>
    <t>pm,개발</t>
  </si>
  <si>
    <t>최미라</t>
  </si>
  <si>
    <t>어플리케이션현대화사업본부</t>
  </si>
  <si>
    <t>MSA플랫폼팀</t>
  </si>
  <si>
    <t>770922-2495215</t>
  </si>
  <si>
    <t>컴퓨터정보통신공학과</t>
  </si>
  <si>
    <t>서울시 구로구 구로중앙18길 1306호</t>
  </si>
  <si>
    <t>010-8884-1927</t>
  </si>
  <si>
    <t>mrchoi@in-soft.co.kr</t>
  </si>
  <si>
    <t>(양)77.09.22</t>
  </si>
  <si>
    <t>160310</t>
  </si>
  <si>
    <t>이소라</t>
  </si>
  <si>
    <t>1096 9381</t>
  </si>
  <si>
    <t>891223-2058810</t>
  </si>
  <si>
    <t>인천시 남동구 석산로9번길 17</t>
  </si>
  <si>
    <t>010-4740-1039</t>
  </si>
  <si>
    <t>srlee@in-soft.co.kr</t>
  </si>
  <si>
    <t>(양)89.12.23</t>
  </si>
  <si>
    <t>12.23</t>
  </si>
  <si>
    <t>131</t>
  </si>
  <si>
    <t>박찬미</t>
  </si>
  <si>
    <t>980813-2401210</t>
  </si>
  <si>
    <t>컴퓨터통신무인기술학과</t>
  </si>
  <si>
    <t>서울특별시 강서구 염창동 공항대로 543</t>
  </si>
  <si>
    <t>010-3877-4278</t>
  </si>
  <si>
    <t>(양)98.08.13</t>
  </si>
  <si>
    <t>125</t>
  </si>
  <si>
    <t>220505</t>
  </si>
  <si>
    <t>배민철</t>
  </si>
  <si>
    <t>성남방송고등학교</t>
  </si>
  <si>
    <t>실업계</t>
  </si>
  <si>
    <t>경기도 성남시 중원구 산성대로 198-1, 301호</t>
  </si>
  <si>
    <t>010-9922-9754</t>
  </si>
  <si>
    <t xml:space="preserve">mcbae@in-soft.co.kr </t>
  </si>
  <si>
    <t>(양)98.08.27</t>
  </si>
  <si>
    <t>130</t>
  </si>
  <si>
    <t>220703</t>
  </si>
  <si>
    <t>강영주</t>
  </si>
  <si>
    <t>솔루션사업본부</t>
  </si>
  <si>
    <t>OpenManager개발팀</t>
  </si>
  <si>
    <t>921006-2696817</t>
  </si>
  <si>
    <t>대구 북구 내곡로 70 605-2201 (주소지 이전 예정)</t>
  </si>
  <si>
    <t>010-7122-9037</t>
  </si>
  <si>
    <t>yjkang@in-soft.co.kr</t>
  </si>
  <si>
    <t>(양)92.10.06</t>
  </si>
  <si>
    <t>122</t>
  </si>
  <si>
    <t>220502</t>
  </si>
  <si>
    <t>김재민</t>
  </si>
  <si>
    <t>931101-1831224</t>
  </si>
  <si>
    <t>경남과학기술대학교</t>
  </si>
  <si>
    <t>서울시 관악구 신림동 1577-30 403호</t>
  </si>
  <si>
    <t>010-6226-5546</t>
  </si>
  <si>
    <t xml:space="preserve">jmkim@in-soft.co.kr </t>
  </si>
  <si>
    <t>(양)93.11.01</t>
  </si>
  <si>
    <t>103</t>
  </si>
  <si>
    <t>정규철</t>
  </si>
  <si>
    <t>700519-1244711</t>
  </si>
  <si>
    <t>무역학</t>
  </si>
  <si>
    <t>서울시 관악구 성현로80, 144동 1201호 (관악드림타운)</t>
  </si>
  <si>
    <t>010-3227-6991</t>
  </si>
  <si>
    <t>kcjung@in-soft.co.kr</t>
  </si>
  <si>
    <t>(양)70.05.19</t>
  </si>
  <si>
    <t>05.19</t>
  </si>
  <si>
    <t>손수유</t>
  </si>
  <si>
    <t>730308-1023123</t>
  </si>
  <si>
    <t>서울시 종로구 동망산길 120, 301호 (숭인동, 할리우드파크아파트)</t>
  </si>
  <si>
    <t>010-5037-5111</t>
  </si>
  <si>
    <t>syson@in-soft.co.kr</t>
  </si>
  <si>
    <t>(양)73.03.08</t>
  </si>
  <si>
    <t>100901</t>
  </si>
  <si>
    <t>천승무</t>
  </si>
  <si>
    <t>1135 7977</t>
  </si>
  <si>
    <t>720424-1850513</t>
  </si>
  <si>
    <t>정보처리기사2급</t>
  </si>
  <si>
    <t>서울 영등포구 대방천로 180, 204동 1210호 (신길동, 우성2차아파트)</t>
  </si>
  <si>
    <t>010-6662-1998</t>
  </si>
  <si>
    <t>smcheon@in-soft.co.kr</t>
  </si>
  <si>
    <t>(음)72.03.11</t>
  </si>
  <si>
    <t>4.17</t>
  </si>
  <si>
    <t>이소윤</t>
  </si>
  <si>
    <t>740304-2068817</t>
  </si>
  <si>
    <t>성신여자대학교</t>
  </si>
  <si>
    <t>경기도 고양시 덕양구 행신동 799 소만마을 3단지 302동 1208호</t>
  </si>
  <si>
    <t>010-2336-8817</t>
  </si>
  <si>
    <t>sylee@in-soft.co.kr</t>
  </si>
  <si>
    <t>(양)74.03.04</t>
  </si>
  <si>
    <t>03.04</t>
  </si>
  <si>
    <t>138</t>
  </si>
  <si>
    <t>EN</t>
  </si>
  <si>
    <t>주인겸</t>
  </si>
  <si>
    <t>830304-1031318</t>
  </si>
  <si>
    <t>삼일공업고등학교</t>
  </si>
  <si>
    <t>전자과</t>
  </si>
  <si>
    <t>경기 용인시 기흥구 신갈동 28-6 대덕캐슬 501호</t>
  </si>
  <si>
    <t>010-3322-2508</t>
  </si>
  <si>
    <t>(양)83.03.04</t>
  </si>
  <si>
    <t>200101</t>
  </si>
  <si>
    <t>안준석</t>
  </si>
  <si>
    <t>821119-1661111</t>
  </si>
  <si>
    <t>광주</t>
  </si>
  <si>
    <t>경기도 김포시 김포한강5로 385 호수마을이편한세상 212동 1503호</t>
  </si>
  <si>
    <t>010-6543-3749</t>
  </si>
  <si>
    <t>jsahn@in-soft.co.kr</t>
  </si>
  <si>
    <t>(양)82.11.19</t>
  </si>
  <si>
    <t>11.19</t>
  </si>
  <si>
    <t>200103</t>
  </si>
  <si>
    <t>김태응</t>
  </si>
  <si>
    <t>730424-1100111</t>
  </si>
  <si>
    <t>금속공학</t>
  </si>
  <si>
    <t>서울시 노원구  덕릉로84길 33 501동 204호 (중계동, 중앙하이츠아파트)</t>
  </si>
  <si>
    <t>010-9677-4732</t>
  </si>
  <si>
    <t>tekim@in-soft.co.kr</t>
  </si>
  <si>
    <t>(양)73.04.24</t>
  </si>
  <si>
    <t>04.24</t>
  </si>
  <si>
    <t>조해연</t>
  </si>
  <si>
    <t>790213-2029834</t>
  </si>
  <si>
    <t>한양여자대학교</t>
  </si>
  <si>
    <t>일러스트레이션과</t>
  </si>
  <si>
    <t>인천시 계약구 효서로 381, 211동 1509호 (작전동, 현대아파트)</t>
  </si>
  <si>
    <t>010-2755-3743</t>
  </si>
  <si>
    <t>hycho@in-soft.co.kr</t>
  </si>
  <si>
    <t>(양)79.02.13</t>
  </si>
  <si>
    <t>02.13</t>
  </si>
  <si>
    <t>170502</t>
  </si>
  <si>
    <t>하헌태</t>
  </si>
  <si>
    <t>910325-1054328</t>
  </si>
  <si>
    <t>서울시 강서구 우장산로8길 23, 101동 902호</t>
  </si>
  <si>
    <t>010-6482-7166</t>
  </si>
  <si>
    <t>htha@in-soft.co.kr</t>
  </si>
  <si>
    <t>(양)91.03.25</t>
  </si>
  <si>
    <t>03.25</t>
  </si>
  <si>
    <t>148</t>
  </si>
  <si>
    <t>김도은</t>
  </si>
  <si>
    <t>AI데이터사업본부</t>
  </si>
  <si>
    <t>AI솔루션팀</t>
  </si>
  <si>
    <t>930826-2853526</t>
  </si>
  <si>
    <t>동명대학교</t>
  </si>
  <si>
    <t>2016.11.18</t>
  </si>
  <si>
    <t>경기도 군포시 고산로  677번길 34 1322동 501호</t>
  </si>
  <si>
    <t>010-4453-8932</t>
  </si>
  <si>
    <t>(양)93.08.26</t>
  </si>
  <si>
    <t>127</t>
  </si>
  <si>
    <t>220803</t>
  </si>
  <si>
    <t>박숙희</t>
  </si>
  <si>
    <t>서비스운영팀</t>
  </si>
  <si>
    <t>영남대학교</t>
  </si>
  <si>
    <t>경제금융</t>
  </si>
  <si>
    <t>컴퓨터활용능력1급</t>
  </si>
  <si>
    <t>경북 경주시 안현로 43-9 103동908호</t>
  </si>
  <si>
    <t>010-2712-7214</t>
  </si>
  <si>
    <t>220801</t>
  </si>
  <si>
    <t>탄신홍</t>
  </si>
  <si>
    <t>AI 데이타 사업 본부</t>
  </si>
  <si>
    <t>AI project팀</t>
  </si>
  <si>
    <t>960603-5180046</t>
  </si>
  <si>
    <t>외국대</t>
  </si>
  <si>
    <t>말라야 대학교 (University of Malaya)</t>
  </si>
  <si>
    <t>기계공학과</t>
  </si>
  <si>
    <t>IBM Data Analyst 9Courses</t>
  </si>
  <si>
    <t>Business Data Analyst Certification</t>
  </si>
  <si>
    <t>한국어능력평가6등급</t>
  </si>
  <si>
    <t>서울특별시 영등포구 문래동4가 10-4 503호</t>
  </si>
  <si>
    <t>010-4346-7760</t>
  </si>
  <si>
    <t>shtan@in-soft.co.kr</t>
  </si>
  <si>
    <t>(양)96.06.03</t>
  </si>
  <si>
    <t>119</t>
  </si>
  <si>
    <t>220605</t>
  </si>
  <si>
    <t>기획,pm</t>
  </si>
  <si>
    <t>이보라</t>
  </si>
  <si>
    <t>800903-2251414</t>
  </si>
  <si>
    <t>중어중문학과</t>
  </si>
  <si>
    <t>서울시 은평구 대조동 198-7 1층</t>
  </si>
  <si>
    <t>010-9489-7250</t>
  </si>
  <si>
    <t>br.lee@in-soft.co.kr</t>
  </si>
  <si>
    <t>(양)80.09.03</t>
  </si>
  <si>
    <t>변수정</t>
  </si>
  <si>
    <t>941203-2101513</t>
  </si>
  <si>
    <t>경성대학교</t>
  </si>
  <si>
    <t>부산시 해운대구 센텀동로 25, 103동 1401호</t>
  </si>
  <si>
    <t>010-4821-0278</t>
  </si>
  <si>
    <t>sjbyun@in-soft.co.kr</t>
  </si>
  <si>
    <t>(양)94.12.03</t>
  </si>
  <si>
    <t>96</t>
  </si>
  <si>
    <t>정지운</t>
  </si>
  <si>
    <t>930619-1824217</t>
  </si>
  <si>
    <t>강원관광대학</t>
  </si>
  <si>
    <t>카지노관광학</t>
  </si>
  <si>
    <t>서울시 동작구 여의대방로44길 47</t>
  </si>
  <si>
    <t>010-8336-3295</t>
  </si>
  <si>
    <t>(양)93.06.19</t>
  </si>
  <si>
    <t>06.19</t>
  </si>
  <si>
    <t>123</t>
  </si>
  <si>
    <t>220804</t>
  </si>
  <si>
    <t>개발,pmpl</t>
  </si>
  <si>
    <t>김재홍</t>
  </si>
  <si>
    <t>711102-1684322</t>
  </si>
  <si>
    <t>경기도 김포시 마산동 은여울마을 경남아너스빌 204-301</t>
  </si>
  <si>
    <t>010-6369-9139</t>
  </si>
  <si>
    <t>jaehong@in-soft.co.kr</t>
  </si>
  <si>
    <t>(양)71.11.02</t>
  </si>
  <si>
    <t>98</t>
  </si>
  <si>
    <t>이민호</t>
  </si>
  <si>
    <t>700924-1094919</t>
  </si>
  <si>
    <t>경기도 부천시 평천로700번길 18-6, 301호 (약대동, 대웅주택)</t>
  </si>
  <si>
    <t>010-3996-0883</t>
  </si>
  <si>
    <t>(양)70.09.24</t>
  </si>
  <si>
    <t>220901</t>
  </si>
  <si>
    <t>PM,컨설팅</t>
  </si>
  <si>
    <t>조흥재</t>
  </si>
  <si>
    <t>서비스사업본부</t>
  </si>
  <si>
    <t>클라우드SI 1팀</t>
  </si>
  <si>
    <t>740208-1031615</t>
  </si>
  <si>
    <t>제주특별자치도 서귀포시 성산읍 온평리 829-1</t>
  </si>
  <si>
    <t>010-6259-1641</t>
  </si>
  <si>
    <t>hjcho@in-soft.co.kr</t>
  </si>
  <si>
    <t>(양)74.02.08</t>
  </si>
  <si>
    <t>121</t>
  </si>
  <si>
    <t>220802</t>
  </si>
  <si>
    <t>이상윤</t>
  </si>
  <si>
    <t>910515-1140612</t>
  </si>
  <si>
    <t>서강대정보통신대학원</t>
  </si>
  <si>
    <t>데이터사이언스과</t>
  </si>
  <si>
    <t>인공지능자격(전문가)</t>
  </si>
  <si>
    <t>인천시 계양구 황어로 115번길 12 4동 202호</t>
  </si>
  <si>
    <t>010-6573-2577</t>
  </si>
  <si>
    <t>(양)91.05.15</t>
  </si>
  <si>
    <t>최창규</t>
  </si>
  <si>
    <t>891012-1163213</t>
  </si>
  <si>
    <t>권선고등학교</t>
  </si>
  <si>
    <t>인문계</t>
  </si>
  <si>
    <t>서울시 영등포구  국회대로54길 65-4, 503호 (영등포동2가, 크렌시아하우스)</t>
  </si>
  <si>
    <t>010-7163-7289</t>
  </si>
  <si>
    <t>cg.choi@in-soft.co.kr</t>
  </si>
  <si>
    <t>(양)89.10.12</t>
  </si>
  <si>
    <t>128</t>
  </si>
  <si>
    <t>이광석</t>
  </si>
  <si>
    <t>720700-1350926</t>
  </si>
  <si>
    <t>경영학과</t>
  </si>
  <si>
    <t>서울 관악구 봉천동 장군보8길15 대경아파트</t>
  </si>
  <si>
    <t>010-5461-1641</t>
  </si>
  <si>
    <t>lks@in-soft.co.kr</t>
  </si>
  <si>
    <t>(양)72.07.11</t>
  </si>
  <si>
    <t>본부장</t>
  </si>
  <si>
    <t>정은태</t>
  </si>
  <si>
    <t>731130-1657518</t>
  </si>
  <si>
    <t>전자계산조직응용기사</t>
  </si>
  <si>
    <t>서울시 송파구 오금로27길 25-25, 402호 (방이동, 한양파크빌)</t>
  </si>
  <si>
    <t>010-6555-9503</t>
  </si>
  <si>
    <t>etjung@in-soft.co.kr</t>
  </si>
  <si>
    <t>152</t>
  </si>
  <si>
    <t>남재성</t>
  </si>
  <si>
    <t>ICT Biz그룹</t>
  </si>
  <si>
    <t>System Eng.Tech팀</t>
  </si>
  <si>
    <t>830828-1012229</t>
  </si>
  <si>
    <t>경복전문대학교</t>
  </si>
  <si>
    <t>전문학사</t>
  </si>
  <si>
    <t>리눅스마스터1급</t>
  </si>
  <si>
    <t>서울시 노원구 마들로 111  21동 1112호</t>
  </si>
  <si>
    <t>010-3166-7845</t>
  </si>
  <si>
    <t>jsnam@in-soft.co.kr</t>
  </si>
  <si>
    <t>(양)83.08.28</t>
  </si>
  <si>
    <t>191102</t>
  </si>
  <si>
    <t>박용백</t>
  </si>
  <si>
    <t>721012-1550617</t>
  </si>
  <si>
    <t>서울시 금천구 벚꽃로 73, 107동 604호 (독산동, 금천현대아파트)</t>
  </si>
  <si>
    <t>010-5910-3889</t>
  </si>
  <si>
    <t>yppark@in-soft.co.kr</t>
  </si>
  <si>
    <t>(양)72.10.12</t>
  </si>
  <si>
    <t>144</t>
  </si>
  <si>
    <t>컨설턴트</t>
  </si>
  <si>
    <t>최정락</t>
  </si>
  <si>
    <t>어플리케이션현대화사업</t>
  </si>
  <si>
    <t>690413-1074615</t>
  </si>
  <si>
    <t>인천대학교</t>
  </si>
  <si>
    <t>전기공학과</t>
  </si>
  <si>
    <t>서울특별시 강남구 언주로 123(도곡동, 개포한신아파트)3-505</t>
  </si>
  <si>
    <t>010-9501-5915</t>
  </si>
  <si>
    <t>jrchoi@in-soft.co.kr</t>
  </si>
  <si>
    <t>(양)69.04.13</t>
  </si>
  <si>
    <t>양창희</t>
  </si>
  <si>
    <t>911212-1568314</t>
  </si>
  <si>
    <t>목포대학교</t>
  </si>
  <si>
    <t>AWS SA</t>
  </si>
  <si>
    <t>서울시 강서구 등촌동 636-61</t>
  </si>
  <si>
    <t>010-9374-0150</t>
  </si>
  <si>
    <t>chyang@in-soft.co.kr</t>
  </si>
  <si>
    <t>(양)91.12.12</t>
  </si>
  <si>
    <t>12.12</t>
  </si>
  <si>
    <t>82</t>
  </si>
  <si>
    <t>홍순웅</t>
  </si>
  <si>
    <t>730129-1030714</t>
  </si>
  <si>
    <t>정보처리 산업기사</t>
  </si>
  <si>
    <t>Naver Cloud Platform Certified Associate</t>
  </si>
  <si>
    <t>서울시 도봉구 도봉로109길 78, 201호 (쌍문동, 문예마을)</t>
  </si>
  <si>
    <t>010-3030-5433</t>
  </si>
  <si>
    <t>swhong@in-soft.co.kr</t>
  </si>
  <si>
    <t>정상혁</t>
  </si>
  <si>
    <t>930512-1621845</t>
  </si>
  <si>
    <t>컴퓨터소프트웨어</t>
  </si>
  <si>
    <t>서울시 성북구 장위로 73, 3층 (장위동)</t>
  </si>
  <si>
    <t>010-4875-4939</t>
  </si>
  <si>
    <t>jsh@in-soft.co.kr</t>
  </si>
  <si>
    <t>(양)93.05.12</t>
  </si>
  <si>
    <t>05.12</t>
  </si>
  <si>
    <t>220503</t>
  </si>
  <si>
    <t>오종선</t>
  </si>
  <si>
    <t>710703-1548514</t>
  </si>
  <si>
    <t>경기 고양 덕양 행신 741-10 2층 201호</t>
  </si>
  <si>
    <t>010-3921-1172</t>
  </si>
  <si>
    <t xml:space="preserve">jsoh@in-soft.co.kr </t>
  </si>
  <si>
    <t>(양)71.07.03</t>
  </si>
  <si>
    <t>118</t>
  </si>
  <si>
    <t>220902</t>
  </si>
  <si>
    <t>경기 안산시 상록구 실록2길 7-1 401호</t>
  </si>
  <si>
    <t>유흥식</t>
  </si>
  <si>
    <t>831210-1079827</t>
  </si>
  <si>
    <t>연성대학교</t>
  </si>
  <si>
    <t>AWS SAA</t>
  </si>
  <si>
    <t>서울시 구로구 도림로 107, 1동 1012호</t>
  </si>
  <si>
    <t>010-2103-2965</t>
  </si>
  <si>
    <t>hsyoo@in-soft.co.kr</t>
  </si>
  <si>
    <t>(양)83.12.10</t>
  </si>
  <si>
    <t>양광모</t>
  </si>
  <si>
    <t>960307-1194012</t>
  </si>
  <si>
    <t>전문대 전공심화</t>
  </si>
  <si>
    <t>경기과학기술대학교</t>
  </si>
  <si>
    <t>컴퓨터전공</t>
  </si>
  <si>
    <t>네트워크관리사2급</t>
  </si>
  <si>
    <t>경기도 안산시 상록구 건건동 창말2길 마크리엘 1104호</t>
  </si>
  <si>
    <t>010-3562-4078</t>
  </si>
  <si>
    <t>kmyang@in-soft.co.kr</t>
  </si>
  <si>
    <t>(양)96.03.07</t>
  </si>
  <si>
    <t>현종원</t>
  </si>
  <si>
    <t>950316-1076717</t>
  </si>
  <si>
    <t>중앙대학교학점은행제</t>
  </si>
  <si>
    <t>경기도 남양주시 덕소로 33, 304동 1703호 (덕소주공아파트 3단지)</t>
  </si>
  <si>
    <t>010-5646-8872</t>
  </si>
  <si>
    <t>jwhyun@in-soft.co.kr</t>
  </si>
  <si>
    <t>(양)95.03.16</t>
  </si>
  <si>
    <t>190502</t>
  </si>
  <si>
    <t>오영광</t>
  </si>
  <si>
    <t>1116 1616</t>
  </si>
  <si>
    <t>750104-1037921</t>
  </si>
  <si>
    <t>인천재능대학교</t>
  </si>
  <si>
    <t>경기도 시흥시 은계중앙로 140, 1105동 2504호</t>
  </si>
  <si>
    <t>010-8971-0917</t>
  </si>
  <si>
    <t>ykoh@in-soft.co.kr</t>
  </si>
  <si>
    <t>(양)75.01.04</t>
  </si>
  <si>
    <t>정희원</t>
  </si>
  <si>
    <t>931214-1065934</t>
  </si>
  <si>
    <t>서정대학</t>
  </si>
  <si>
    <t>호텔경영</t>
  </si>
  <si>
    <t>경기도 고양시 내유동 436-22 정원아트빌 101호</t>
  </si>
  <si>
    <t>010-6476-7244</t>
  </si>
  <si>
    <t>hwjung@in-soft.co.kr</t>
  </si>
  <si>
    <t>(양)93.12.14</t>
  </si>
  <si>
    <t>12.14</t>
  </si>
  <si>
    <t>허소영</t>
  </si>
  <si>
    <t>931004-2065611</t>
  </si>
  <si>
    <t>정보통신공학과</t>
  </si>
  <si>
    <t>정보통신기사</t>
  </si>
  <si>
    <t>무선설비기사</t>
  </si>
  <si>
    <t>서울시 금천구 독산로 78다길 5 플로체 101호</t>
  </si>
  <si>
    <t>010-9135-8571</t>
  </si>
  <si>
    <t>syheo@in-soft.co.kr</t>
  </si>
  <si>
    <t>(양)93.10.04</t>
  </si>
  <si>
    <t>최윤정</t>
  </si>
  <si>
    <t>클라우드사업부</t>
  </si>
  <si>
    <t>960709 - 2622716</t>
  </si>
  <si>
    <t>명덕여자고등학교</t>
  </si>
  <si>
    <t>서울특별시 강서구 곰달래로31마길 37, 1층</t>
  </si>
  <si>
    <t>010-4076-3468</t>
  </si>
  <si>
    <t>yjchoi@in-soft.co.kr</t>
  </si>
  <si>
    <t>(양)96.07.09</t>
  </si>
  <si>
    <t>김동석</t>
  </si>
  <si>
    <t>AI기획팀</t>
  </si>
  <si>
    <t>750510-1094129</t>
  </si>
  <si>
    <t>부산외국어대학교</t>
  </si>
  <si>
    <t>불어과</t>
  </si>
  <si>
    <t>서울시 중구 신당동 372-71 601호</t>
  </si>
  <si>
    <t>010-2849-2279</t>
  </si>
  <si>
    <t>dskim@in-soft.co.kr</t>
  </si>
  <si>
    <t>(양)75.05.10</t>
  </si>
  <si>
    <t>220702</t>
  </si>
  <si>
    <t>조동오</t>
  </si>
  <si>
    <t>931031-1214115</t>
  </si>
  <si>
    <t>데이터분석 준전문가</t>
  </si>
  <si>
    <t>빅데이터분석기사</t>
  </si>
  <si>
    <t>경기도 수원시 권선구 곡선로 20(권선동, 수원아이파크시티6단지) 610동 903호</t>
  </si>
  <si>
    <t>010-2793-1173</t>
  </si>
  <si>
    <t>docho@in-soft.co.kr</t>
  </si>
  <si>
    <t>(양)93.10.31</t>
  </si>
  <si>
    <t>220601</t>
  </si>
  <si>
    <t>김회</t>
  </si>
  <si>
    <t>710815-1056425</t>
  </si>
  <si>
    <t>한양대 경영전문대학원</t>
  </si>
  <si>
    <t>디지털비즈니스트랙</t>
  </si>
  <si>
    <t>인천광역시 연수구 컨벤시아대로 252번길 70,1305-4002 (송도4동, 송도퍼스트파크13BL아파트)</t>
  </si>
  <si>
    <t>010-2780-6757</t>
  </si>
  <si>
    <t>hkim@in-soft.co.kr</t>
  </si>
  <si>
    <t>(음)71.08.15</t>
  </si>
  <si>
    <t>220602</t>
  </si>
  <si>
    <t>김남국</t>
  </si>
  <si>
    <t>870630-1056913</t>
  </si>
  <si>
    <t>경기도 시흥시 목감중앙로19 가온수플 1010-401</t>
  </si>
  <si>
    <t>010-6697-3688</t>
  </si>
  <si>
    <t>nkkim@in-soft.co.kr</t>
  </si>
  <si>
    <t>(양)87.06.30</t>
  </si>
  <si>
    <t>권택인</t>
  </si>
  <si>
    <t>870715-1006212</t>
  </si>
  <si>
    <t>공주대학교</t>
  </si>
  <si>
    <t>경기도 안양시 동안구  경수대로507번길 32, 1003호 (호계동, 한일코지세상)</t>
  </si>
  <si>
    <t>010-9600-7392</t>
  </si>
  <si>
    <t>tigwon@in-soft.co.kr</t>
  </si>
  <si>
    <t>(양)87.07.15</t>
  </si>
  <si>
    <t>07.15</t>
  </si>
  <si>
    <t>박준식</t>
  </si>
  <si>
    <t>710428-1017221</t>
  </si>
  <si>
    <t>경기도 남양주시 와부읍 덕소로 180, 104동 603호</t>
  </si>
  <si>
    <t>010-5330-7940</t>
  </si>
  <si>
    <t>jspark@in-soft.co.kr</t>
  </si>
  <si>
    <t>(양)91.04.28</t>
  </si>
  <si>
    <t>04.28</t>
  </si>
  <si>
    <t>왕현수</t>
  </si>
  <si>
    <t>991103-1078711</t>
  </si>
  <si>
    <t>신구대학교</t>
  </si>
  <si>
    <t>IT소프트웨어과</t>
  </si>
  <si>
    <t>서울 특별시 송파구 위례성대로 6길 15 B동 401호</t>
  </si>
  <si>
    <t>010-9357-4873</t>
  </si>
  <si>
    <t>hswang@in-soft.co.kr</t>
  </si>
  <si>
    <t>(양)99.11.13</t>
  </si>
  <si>
    <t>220904</t>
  </si>
  <si>
    <t>황호세</t>
  </si>
  <si>
    <t>970512-1079218</t>
  </si>
  <si>
    <t>SQL개발자</t>
  </si>
  <si>
    <t>경기도 군포시 군포로 490번길 16(효성타운빌라) 102동 502호</t>
  </si>
  <si>
    <t>010-3645-2422</t>
  </si>
  <si>
    <t>hshwang@in-soft.co.kr</t>
  </si>
  <si>
    <t>(양)97.05.12</t>
  </si>
  <si>
    <t>QA</t>
  </si>
  <si>
    <t>신민경</t>
  </si>
  <si>
    <t>9401162-693012</t>
  </si>
  <si>
    <t>학점은행제</t>
  </si>
  <si>
    <t>정보시스템개발과</t>
  </si>
  <si>
    <t>대구광역시 수성구 만촌로28길 19, 까르페디엠2 501호</t>
  </si>
  <si>
    <t>010-4435-4487</t>
  </si>
  <si>
    <t>mgshin@in-soft.co.kr</t>
  </si>
  <si>
    <t>(양)94.01.16</t>
  </si>
  <si>
    <t>권동우</t>
  </si>
  <si>
    <t>클라우드 네이티브 사업본부</t>
  </si>
  <si>
    <t>클라우드네이티브전환팀</t>
  </si>
  <si>
    <t>960222-1953215</t>
  </si>
  <si>
    <t>제주대학교</t>
  </si>
  <si>
    <t>영어교육과</t>
  </si>
  <si>
    <t>제주</t>
  </si>
  <si>
    <t>제주시 구남동 8길 11-5 다온빌 302호</t>
  </si>
  <si>
    <t>010-9040-0979</t>
  </si>
  <si>
    <t>dwkwon@in-soft.co.kr</t>
  </si>
  <si>
    <t>(양)96.02.22</t>
  </si>
  <si>
    <t>170902</t>
  </si>
  <si>
    <t>김연호</t>
  </si>
  <si>
    <t>870721-1851617</t>
  </si>
  <si>
    <t>울산과학대학교</t>
  </si>
  <si>
    <t>컴퓨터정보학</t>
  </si>
  <si>
    <t>중급상</t>
  </si>
  <si>
    <t>서울시 중랑구 상봉동 129-59 104호</t>
  </si>
  <si>
    <t>010-2557-8439</t>
  </si>
  <si>
    <t>yeonho@in-soft.co.kr</t>
  </si>
  <si>
    <t>(양)87.07.21</t>
  </si>
  <si>
    <t>김석진</t>
  </si>
  <si>
    <t>1123 1929</t>
  </si>
  <si>
    <t>880217-1241615</t>
  </si>
  <si>
    <t>경기도 포천시  왕방로142번길 9 (신읍동)</t>
  </si>
  <si>
    <t>010-9506-3356</t>
  </si>
  <si>
    <t>sjkim@in-soft.co.kr</t>
  </si>
  <si>
    <t>(양)88.02.17</t>
  </si>
  <si>
    <t>02.17</t>
  </si>
  <si>
    <t>137</t>
  </si>
  <si>
    <t>윤성동</t>
  </si>
  <si>
    <t>691224-1902218</t>
  </si>
  <si>
    <t>영어영문학과</t>
  </si>
  <si>
    <t>CCSE(Check Point Certified Security Expert)</t>
  </si>
  <si>
    <t>U-City기술자격</t>
  </si>
  <si>
    <t>전자상거래관리사</t>
  </si>
  <si>
    <t>경기도 수원시 장안구 만석로20번길28,632동1806호(정자동,청솔마을한라비빌디아파트)</t>
  </si>
  <si>
    <t>010-8520-0541</t>
  </si>
  <si>
    <t>sdyoon@in-soft.co.kr</t>
  </si>
  <si>
    <t>(음)69.12.24</t>
  </si>
  <si>
    <t>220706</t>
  </si>
  <si>
    <t>이교석</t>
  </si>
  <si>
    <t>800720-1111211</t>
  </si>
  <si>
    <t>용인송담대</t>
  </si>
  <si>
    <t>전산과</t>
  </si>
  <si>
    <t>서울시 관악구 봉천로21 나길 4한성파크빌리지 106동 402호</t>
  </si>
  <si>
    <t>010-9000-0765</t>
  </si>
  <si>
    <t>kslee@in-soft.co.kr</t>
  </si>
  <si>
    <t>(양)80.07.20</t>
  </si>
  <si>
    <t>김진원</t>
  </si>
  <si>
    <t>AI데이타사업부</t>
  </si>
  <si>
    <t>010210-3173728</t>
  </si>
  <si>
    <t>명지전문대학교 심화과정</t>
  </si>
  <si>
    <t>인터넷보안공학과</t>
  </si>
  <si>
    <t>네[트워크관리사2급</t>
  </si>
  <si>
    <t>웹디자인기능사</t>
  </si>
  <si>
    <t>경기도 의정부시 추동로45 동성아파트 107동 1305호</t>
  </si>
  <si>
    <t>010-2202-4671</t>
  </si>
  <si>
    <t>(양)01.02.10</t>
  </si>
  <si>
    <t>이도형</t>
  </si>
  <si>
    <t>950220-1199714</t>
  </si>
  <si>
    <t>경기도 김포시 김포한강11로 275, 310동 804호</t>
  </si>
  <si>
    <t>010-2868-2837</t>
  </si>
  <si>
    <t>dhlee@in-soft.co.kr</t>
  </si>
  <si>
    <t>(양)95.02.20</t>
  </si>
  <si>
    <t>02.20</t>
  </si>
  <si>
    <t>김병수</t>
  </si>
  <si>
    <t>880705-1032616</t>
  </si>
  <si>
    <t>두원공과대학교</t>
  </si>
  <si>
    <t>컴퓨터게임</t>
  </si>
  <si>
    <t>서울시 도봉구 쌍문1동 281-19 정한파크빌 201호</t>
  </si>
  <si>
    <t>010-9973-5253</t>
  </si>
  <si>
    <t>(양)88.07.05</t>
  </si>
  <si>
    <t>07.05</t>
  </si>
  <si>
    <t>33</t>
  </si>
  <si>
    <t>181108</t>
  </si>
  <si>
    <t>원대희</t>
  </si>
  <si>
    <t>1243 4847</t>
  </si>
  <si>
    <t>760312-1398933</t>
  </si>
  <si>
    <t>경기도 부천시 원미구 도당동 69-1 진성그린아파트 101동 301호</t>
  </si>
  <si>
    <t>010-9263-3568</t>
  </si>
  <si>
    <t>dhwon@in-soft.co.kr</t>
  </si>
  <si>
    <t>(양)76.03.12</t>
  </si>
  <si>
    <t>3.12</t>
  </si>
  <si>
    <t>조창갑</t>
  </si>
  <si>
    <t>611217-1037915</t>
  </si>
  <si>
    <t>한양대학교 공학대학원</t>
  </si>
  <si>
    <t>서울 마포구 월드컵북로235 11동1302호</t>
  </si>
  <si>
    <t>010-5141-2131</t>
  </si>
  <si>
    <t>ckcho@in-soft.co.kr</t>
  </si>
  <si>
    <t>(음)61.12.17</t>
  </si>
  <si>
    <t>김호연</t>
  </si>
  <si>
    <t>951122-1178020</t>
  </si>
  <si>
    <t>경기과학기술대</t>
  </si>
  <si>
    <t>자동차과</t>
  </si>
  <si>
    <t>경기도 시흥시 장곡동 인선길 77, 245동 1303호</t>
  </si>
  <si>
    <t>010-9676-3820</t>
  </si>
  <si>
    <t>hykim@in-soft.co.kr</t>
  </si>
  <si>
    <t>(양)95.11.22</t>
  </si>
  <si>
    <t>11.22</t>
  </si>
  <si>
    <t>190201</t>
  </si>
  <si>
    <t>나성현</t>
  </si>
  <si>
    <t>1168 5183</t>
  </si>
  <si>
    <t>920221-1071015</t>
  </si>
  <si>
    <t>소프트웨어 보안</t>
  </si>
  <si>
    <t>경기도 고양시 덕양구 용현로 20 304-905</t>
  </si>
  <si>
    <t>010-3374-0153</t>
  </si>
  <si>
    <t>shna@in-soft.co.kr</t>
  </si>
  <si>
    <t>(양)92.02.21</t>
  </si>
  <si>
    <t>2.21</t>
  </si>
  <si>
    <t>전상윤</t>
  </si>
  <si>
    <t>801107-1691911</t>
  </si>
  <si>
    <t>메카트로닉스</t>
  </si>
  <si>
    <t>서울 관악구 당곡2길 53 101호</t>
  </si>
  <si>
    <t>010-7246-1257</t>
  </si>
  <si>
    <t>syjeon@in-soft.co.kr</t>
  </si>
  <si>
    <t>(양)80.11.07</t>
  </si>
  <si>
    <t>양진</t>
  </si>
  <si>
    <t>1281 3408</t>
  </si>
  <si>
    <t>950120-2590810</t>
  </si>
  <si>
    <t>백석대학교</t>
  </si>
  <si>
    <t xml:space="preserve">인천시 남동구  만수서로 55, 향촌휴먼시아1단지아파트 </t>
  </si>
  <si>
    <t>010-2567-3706</t>
  </si>
  <si>
    <t>jyang@in-soft.co.kr</t>
  </si>
  <si>
    <t>(양)95.01.20</t>
  </si>
  <si>
    <t>220704</t>
  </si>
  <si>
    <t>장우정</t>
  </si>
  <si>
    <t>Cloud Mesh 개발팀</t>
  </si>
  <si>
    <t>응용컴퓨터공학과</t>
  </si>
  <si>
    <t>서울시 관악구 남부순환로 181길 17, WDD 601호</t>
  </si>
  <si>
    <t>010-8954-6930</t>
  </si>
  <si>
    <t>wjjang@in-soft.co.kr</t>
  </si>
  <si>
    <t>(양)95.09.09</t>
  </si>
  <si>
    <t>220903</t>
  </si>
  <si>
    <t>박주한</t>
  </si>
  <si>
    <t>920415-1042019</t>
  </si>
  <si>
    <t>대림대학교</t>
  </si>
  <si>
    <t>전자통신</t>
  </si>
  <si>
    <t>서울특별시 은평구 연서로 149 809호</t>
  </si>
  <si>
    <t>010-3656-6190</t>
  </si>
  <si>
    <t>jhpark@in-soft.co.kr</t>
  </si>
  <si>
    <t>(양)92.04.15</t>
  </si>
  <si>
    <t>김도경</t>
  </si>
  <si>
    <t>AI데이타사업본부</t>
  </si>
  <si>
    <t>940409-1052812</t>
  </si>
  <si>
    <t>두원공과대학</t>
  </si>
  <si>
    <t>경기도 고양시 일산서구 현중로 10</t>
  </si>
  <si>
    <t>010-8108-2090</t>
  </si>
  <si>
    <t>dkkim@in-soft.co.kr</t>
  </si>
  <si>
    <t>(양)94.04.09</t>
  </si>
  <si>
    <t>최성민</t>
  </si>
  <si>
    <t>800222-1772614</t>
  </si>
  <si>
    <t>강남대학교</t>
  </si>
  <si>
    <t>경기도 고양시 덕양구 세솔로 105 삼송마을 동원로얄듀크 1707동 101호</t>
  </si>
  <si>
    <t>010-7454-2690</t>
  </si>
  <si>
    <t>smchoi@in-soft.co.kr</t>
  </si>
  <si>
    <t>최대드림</t>
  </si>
  <si>
    <t>880129-1559613</t>
  </si>
  <si>
    <t>계명대학교</t>
  </si>
  <si>
    <t>대구시 동구 둔산로 19, 3층 (방촌동)</t>
  </si>
  <si>
    <t>010-9800-9159</t>
  </si>
  <si>
    <t>ddchoi@in-soft.co.kr</t>
  </si>
  <si>
    <t>(음)88.01.29</t>
  </si>
  <si>
    <t>김지인</t>
  </si>
  <si>
    <t>940329-2805013</t>
  </si>
  <si>
    <t>중국통상학</t>
  </si>
  <si>
    <t>서울시 관악구 남현8길 16, 305호</t>
  </si>
  <si>
    <t>010-2231-9831</t>
  </si>
  <si>
    <t>jikim@in-soft.co.kr</t>
  </si>
  <si>
    <t>(양)94.03.29</t>
  </si>
  <si>
    <t>03.29</t>
  </si>
  <si>
    <t>191202</t>
  </si>
  <si>
    <t>이상모</t>
  </si>
  <si>
    <t>790505-1025714</t>
  </si>
  <si>
    <t>전산정보처리과</t>
  </si>
  <si>
    <t>서울시 금천구 시흥대로 291, 롯데캐슬 골드파크 304-3705</t>
  </si>
  <si>
    <t>010-5399-0769</t>
  </si>
  <si>
    <t>(양)79.05.05</t>
  </si>
  <si>
    <t>05.05</t>
  </si>
  <si>
    <t>문병진</t>
  </si>
  <si>
    <t>830629-1070211</t>
  </si>
  <si>
    <t>세종사이버대학교</t>
  </si>
  <si>
    <t>서울시 구로구 부일로15길 64, 301호 (궁동)</t>
  </si>
  <si>
    <t>010-4804-6297</t>
  </si>
  <si>
    <t>bjmoon@in-soft.co.kr</t>
  </si>
  <si>
    <t>06.29</t>
  </si>
  <si>
    <t>한병훈</t>
  </si>
  <si>
    <t>920104-1011012</t>
  </si>
  <si>
    <t>아현산업정보고등학교</t>
  </si>
  <si>
    <t>e-스포츠과</t>
  </si>
  <si>
    <t>서울시 구로구 고척로 47길 6</t>
  </si>
  <si>
    <t>010-7167-2898</t>
  </si>
  <si>
    <t>bhhan@in-soft.co.kr</t>
  </si>
  <si>
    <t>(양)92.01.04</t>
  </si>
  <si>
    <t>박진석</t>
  </si>
  <si>
    <t>791110-1041525</t>
  </si>
  <si>
    <t>서울시 은평구 역말로9길 17-22</t>
  </si>
  <si>
    <t>010-7105-1042</t>
  </si>
  <si>
    <t>(음)79.11.10</t>
  </si>
  <si>
    <t>181201</t>
  </si>
  <si>
    <t>곽해진</t>
  </si>
  <si>
    <t>940530-2019019</t>
  </si>
  <si>
    <t>호텔조리</t>
  </si>
  <si>
    <t>서울시 광진구 화양동 광나루로20길 29</t>
  </si>
  <si>
    <t>010-9043-4359</t>
  </si>
  <si>
    <t>hjkwak@in-soft.co.kr</t>
  </si>
  <si>
    <t>(양)94.05.30</t>
  </si>
  <si>
    <t>신경아</t>
  </si>
  <si>
    <t>920314-2203528</t>
  </si>
  <si>
    <t>국제예술대학</t>
  </si>
  <si>
    <t>음악과</t>
  </si>
  <si>
    <t>AWS-SOA</t>
  </si>
  <si>
    <t>경기도 안산시 단원구  화정로 9, 1406동 405호 (선부동, 주공아파트)</t>
  </si>
  <si>
    <t>010-5158-3419</t>
  </si>
  <si>
    <t>kashin@in-soft.co.kr</t>
  </si>
  <si>
    <t>(양)92.03.14</t>
  </si>
  <si>
    <t>03.14</t>
  </si>
  <si>
    <t>160401</t>
  </si>
  <si>
    <t>1136 3523</t>
  </si>
  <si>
    <t>신안산대학교</t>
  </si>
  <si>
    <t>전기</t>
  </si>
  <si>
    <t>서울시 송파구 문정동 121-13 302호</t>
  </si>
  <si>
    <t>(양)73.12.15</t>
  </si>
  <si>
    <t>12.15</t>
  </si>
  <si>
    <t>190501</t>
  </si>
  <si>
    <t>한현태</t>
  </si>
  <si>
    <t>1249 2490</t>
  </si>
  <si>
    <t>770406-1052411</t>
  </si>
  <si>
    <t>식량자원학</t>
  </si>
  <si>
    <t>경기도 하남시 위례광장로 285 신안인스빌아스트로 6205-402</t>
  </si>
  <si>
    <t>010-2242-5662</t>
  </si>
  <si>
    <t>hthan@in-soft.co.kr</t>
  </si>
  <si>
    <t>(양)77.04.06</t>
  </si>
  <si>
    <t>04.06</t>
  </si>
  <si>
    <t>김경원</t>
  </si>
  <si>
    <t>670618-1656923</t>
  </si>
  <si>
    <t>일반대대</t>
  </si>
  <si>
    <t>서울시 서초구 신반포로 270 반포자이 140-1903</t>
  </si>
  <si>
    <t>010-8875-8888</t>
  </si>
  <si>
    <t>kwkim0725@naver.com</t>
  </si>
  <si>
    <t>(음)67.06.18</t>
  </si>
  <si>
    <t>최세지</t>
  </si>
  <si>
    <t>1179 4777</t>
  </si>
  <si>
    <t>940218-2078612</t>
  </si>
  <si>
    <t>우송대학교</t>
  </si>
  <si>
    <t>정보시스템</t>
  </si>
  <si>
    <t>서울시 관악구 신사로 82, 아데나 534</t>
  </si>
  <si>
    <t>010-2060-8720</t>
  </si>
  <si>
    <t>sjchoi@in-soft.co.kr</t>
  </si>
  <si>
    <t>(양)94.02.18</t>
  </si>
  <si>
    <t>진현리</t>
  </si>
  <si>
    <t>920925-2178718</t>
  </si>
  <si>
    <t>경영정보시스템</t>
  </si>
  <si>
    <t>경기도 안양시 동안구 달안로 153, 206동 903호</t>
  </si>
  <si>
    <t>010-2946-3994</t>
  </si>
  <si>
    <t>hrjin@in-soft.co.kr</t>
  </si>
  <si>
    <t>(양)92.09.25</t>
  </si>
  <si>
    <t>09.25</t>
  </si>
  <si>
    <t>직급</t>
  </si>
  <si>
    <t>과학기술인등록번호</t>
  </si>
  <si>
    <t>팀</t>
  </si>
  <si>
    <t>지역</t>
  </si>
  <si>
    <t>학위취득일</t>
  </si>
  <si>
    <t>경력기준등급</t>
  </si>
  <si>
    <t>경력증기준등급</t>
  </si>
  <si>
    <t>전직장 경력(개월)</t>
  </si>
  <si>
    <t>내선번호</t>
  </si>
  <si>
    <t>생일</t>
  </si>
  <si>
    <t>2016년 생일</t>
  </si>
  <si>
    <t>가입</t>
  </si>
  <si>
    <t>성희롱</t>
  </si>
  <si>
    <t>괴롭힘</t>
  </si>
  <si>
    <t>장애인</t>
  </si>
  <si>
    <t>020901</t>
  </si>
  <si>
    <t>황광익</t>
  </si>
  <si>
    <t>사장</t>
  </si>
  <si>
    <t>1122 7932</t>
  </si>
  <si>
    <t>사장실</t>
  </si>
  <si>
    <t>670607-1471318</t>
  </si>
  <si>
    <t>성균관대학교</t>
  </si>
  <si>
    <t>서울시 양천구 목동동로 180, 101동 603호 (신정동, 신정동아이파크)</t>
  </si>
  <si>
    <t>010-5305-2851</t>
  </si>
  <si>
    <t>hpkihwang@in-soft.co.kr</t>
  </si>
  <si>
    <t>(음)67.03.11</t>
  </si>
  <si>
    <t>4.29</t>
  </si>
  <si>
    <t>040101</t>
  </si>
  <si>
    <t>김상민</t>
  </si>
  <si>
    <t>1097 3383</t>
  </si>
  <si>
    <t>750122-1041719</t>
  </si>
  <si>
    <t>서울시 송파구 송파대로 567 주공 5단지 520동 1101호</t>
  </si>
  <si>
    <t>010-6286-4249</t>
  </si>
  <si>
    <t>smkim@in-soft.co.kr</t>
  </si>
  <si>
    <t>(양)75.01.22</t>
  </si>
  <si>
    <t>070101</t>
  </si>
  <si>
    <t>문희성</t>
  </si>
  <si>
    <t>1135 7897</t>
  </si>
  <si>
    <t>800721-1019617</t>
  </si>
  <si>
    <t>용인대학교</t>
  </si>
  <si>
    <t>서울시 광진구 구의동 222-66호</t>
  </si>
  <si>
    <t>010-3727-8032</t>
  </si>
  <si>
    <t>hsmoon@in-soft.co.kr</t>
  </si>
  <si>
    <t>(양)80.07.21</t>
  </si>
  <si>
    <t>081003</t>
  </si>
  <si>
    <t>김지훈</t>
  </si>
  <si>
    <t>1122 7349</t>
  </si>
  <si>
    <t>730623-1471215</t>
  </si>
  <si>
    <t>군산대학교</t>
  </si>
  <si>
    <t>인천시 미추홀구 경원대로864번길 114, 205동 2601호 (주안동, 주안더월드스테이트)</t>
  </si>
  <si>
    <t>010-2397-8122</t>
  </si>
  <si>
    <t>kjh@in-soft.co.kr</t>
  </si>
  <si>
    <t>(음)73.01.06</t>
  </si>
  <si>
    <t>100803</t>
  </si>
  <si>
    <t>김태영</t>
  </si>
  <si>
    <t>1135 7888</t>
  </si>
  <si>
    <t>771106-1830415</t>
  </si>
  <si>
    <t>영동대학교</t>
  </si>
  <si>
    <t>경기도 김포시 장기동 수정마을쌍용예가아파트 117동 901호</t>
  </si>
  <si>
    <t>010-6405-8553</t>
  </si>
  <si>
    <t>tykim@in-soft.co.kr</t>
  </si>
  <si>
    <t>(양)77.11.06</t>
  </si>
  <si>
    <t>MSA Dev</t>
  </si>
  <si>
    <t>100902</t>
  </si>
  <si>
    <t>유영서</t>
  </si>
  <si>
    <t>1135 7866</t>
  </si>
  <si>
    <t>790929-1168352</t>
  </si>
  <si>
    <t>디지털전자</t>
  </si>
  <si>
    <t>서울시 영등포구 영등포동 620-10 미림빌라 301호</t>
  </si>
  <si>
    <t>010-2730-3022</t>
  </si>
  <si>
    <t>ysyoo@in-soft.co.kr</t>
  </si>
  <si>
    <t>101206</t>
  </si>
  <si>
    <t>김동민</t>
  </si>
  <si>
    <t>1135 7799</t>
  </si>
  <si>
    <t>830228-1030714</t>
  </si>
  <si>
    <t>경기도 시흥시 대야동 460-22 봉봉빌라 1-301</t>
  </si>
  <si>
    <t>010-2709-2543</t>
  </si>
  <si>
    <t>dmkim@in-soft.co.kr</t>
  </si>
  <si>
    <t>(양)83.02.28</t>
  </si>
  <si>
    <t>110101</t>
  </si>
  <si>
    <t>김정환</t>
  </si>
  <si>
    <t>1147 2065</t>
  </si>
  <si>
    <t>770404-1047711</t>
  </si>
  <si>
    <t>서울시 마포구 합정동 387-8</t>
  </si>
  <si>
    <t>010-9105-7676</t>
  </si>
  <si>
    <t>jehkim@in-soft.co.kr</t>
  </si>
  <si>
    <t>(양)77.04.04</t>
  </si>
  <si>
    <t>4.04</t>
  </si>
  <si>
    <t>110401</t>
  </si>
  <si>
    <t>이광희</t>
  </si>
  <si>
    <t>1147 2223</t>
  </si>
  <si>
    <t>800403-1394314</t>
  </si>
  <si>
    <t>명지평생교육원</t>
  </si>
  <si>
    <t>고급 상</t>
  </si>
  <si>
    <t>서울시 용산구 청파동 1가 1-53호 호성빌라트 302호</t>
  </si>
  <si>
    <t>010-6295-1294</t>
  </si>
  <si>
    <t>khlee@in-soft.co.kr</t>
  </si>
  <si>
    <t>(양)80.04.03</t>
  </si>
  <si>
    <t>111205</t>
  </si>
  <si>
    <t>이하연</t>
  </si>
  <si>
    <t>1122 7355</t>
  </si>
  <si>
    <t>870320-1155212</t>
  </si>
  <si>
    <t>남서울대학교</t>
  </si>
  <si>
    <t>인천광역시 부평구  부개로 9, 505동 1104호 (부개동, 부개주공5단지아파트)</t>
  </si>
  <si>
    <t>010-7765-6519</t>
  </si>
  <si>
    <t>hayunlee@in-soft.co.kr</t>
  </si>
  <si>
    <t>(양)87.03.20</t>
  </si>
  <si>
    <t>3.20</t>
  </si>
  <si>
    <t>120103</t>
  </si>
  <si>
    <t>김준희</t>
  </si>
  <si>
    <t>1135 7869</t>
  </si>
  <si>
    <t>841009-1070527</t>
  </si>
  <si>
    <t>특급급</t>
  </si>
  <si>
    <t>서울시 구로구 신도림동 290 미성아파트 1동 506호</t>
  </si>
  <si>
    <t>010-2032-2761</t>
  </si>
  <si>
    <t>jhkim@in-soft.co.kr</t>
  </si>
  <si>
    <t>(양)84.10.09</t>
  </si>
  <si>
    <t>120105</t>
  </si>
  <si>
    <t>박원찬</t>
  </si>
  <si>
    <t>1135 7849</t>
  </si>
  <si>
    <t>860102-1071021</t>
  </si>
  <si>
    <t>서울시 동작구 신대방2동 신대방 A.P.T 302호</t>
  </si>
  <si>
    <t>010-4533-6628</t>
  </si>
  <si>
    <t>wcpark@in-soft.co.kr</t>
  </si>
  <si>
    <t>(양)86.01.02</t>
  </si>
  <si>
    <t>박정민</t>
  </si>
  <si>
    <t>1147 1590</t>
  </si>
  <si>
    <t>830205-1233223</t>
  </si>
  <si>
    <t>전산정보학부</t>
  </si>
  <si>
    <t>경기도 파주시 운정3동 한울마을6단지 608동 103호</t>
  </si>
  <si>
    <t>010-9705-2156</t>
  </si>
  <si>
    <t>jmpark@in-soft.co.kr</t>
  </si>
  <si>
    <t>(음)83.01.05</t>
  </si>
  <si>
    <t>2.12</t>
  </si>
  <si>
    <t>박규태</t>
  </si>
  <si>
    <t>1122 7538</t>
  </si>
  <si>
    <t>750405-1019315</t>
  </si>
  <si>
    <t>경기도 군포시 오금동 율곡아파트 330동 1304호</t>
  </si>
  <si>
    <t>010-3352-6535</t>
  </si>
  <si>
    <t>ktpark@in-soft.co.kr</t>
  </si>
  <si>
    <t>(양)75.04.05</t>
  </si>
  <si>
    <t>4.05</t>
  </si>
  <si>
    <t>조주현</t>
  </si>
  <si>
    <t>1147 1678</t>
  </si>
  <si>
    <t>880526-1910517</t>
  </si>
  <si>
    <t>고급중</t>
  </si>
  <si>
    <t>인천시 부평구 장제로155번길 53, B동 503호 (부평동, 삼성타운)</t>
  </si>
  <si>
    <t>010-6708-3819</t>
  </si>
  <si>
    <t xml:space="preserve">jhjo@in-soft.co.kr </t>
  </si>
  <si>
    <t>(양)88.05.26</t>
  </si>
  <si>
    <t>230101</t>
  </si>
  <si>
    <t>1135 7847</t>
  </si>
  <si>
    <t>서울시 중랑구 용마공원로10가길 31번지</t>
  </si>
  <si>
    <t>(양)81.06.06</t>
  </si>
  <si>
    <t>김병기</t>
  </si>
  <si>
    <t>1147 1567</t>
  </si>
  <si>
    <t>850425-1400412</t>
  </si>
  <si>
    <t>광성고등학교</t>
  </si>
  <si>
    <t>서울시 서대문구 연희로10가길 50 드림빌303호</t>
  </si>
  <si>
    <t>010-9969-9299</t>
  </si>
  <si>
    <t>bkkim@in-soft.co.kr</t>
  </si>
  <si>
    <t>(양)85.04.25</t>
  </si>
  <si>
    <t>최성현</t>
  </si>
  <si>
    <t>1139 0323</t>
  </si>
  <si>
    <t>경영지원본부</t>
  </si>
  <si>
    <t>NIA사업팀</t>
  </si>
  <si>
    <t>760504-1388213</t>
  </si>
  <si>
    <t>공주영상정보대학</t>
  </si>
  <si>
    <t>경기도 용인시 수지구 광교마을로 90 4109동 1707호</t>
  </si>
  <si>
    <t>010-4507-1922</t>
  </si>
  <si>
    <t>shchoi@in-soft.co.kr</t>
  </si>
  <si>
    <t>(양)76.05.04</t>
  </si>
  <si>
    <t>5.04</t>
  </si>
  <si>
    <t>고승규</t>
  </si>
  <si>
    <t>1141 0300</t>
  </si>
  <si>
    <t>720818-1023726</t>
  </si>
  <si>
    <t>서울시 동대문구  회기로2길 20, 502호</t>
  </si>
  <si>
    <t>010-3428-1714</t>
  </si>
  <si>
    <t>skgo@in-soft.co.kr</t>
  </si>
  <si>
    <t>(양)72.08.18</t>
  </si>
  <si>
    <t>8.18</t>
  </si>
  <si>
    <t>150903</t>
  </si>
  <si>
    <t>김기묵</t>
  </si>
  <si>
    <t>1107 2866</t>
  </si>
  <si>
    <t>740104-1011811</t>
  </si>
  <si>
    <t>중어중문학</t>
  </si>
  <si>
    <t>서울시 은평구 불광동 384 더하우스 301호</t>
  </si>
  <si>
    <t>010-4221-6126</t>
  </si>
  <si>
    <t>kmkim@in-soft.co.kr</t>
  </si>
  <si>
    <t>(양)71.01.04</t>
  </si>
  <si>
    <t>1.04</t>
  </si>
  <si>
    <t>160308</t>
  </si>
  <si>
    <t>공희택</t>
  </si>
  <si>
    <t>대표</t>
  </si>
  <si>
    <t>590216-1543711</t>
  </si>
  <si>
    <t>서울시 송파구 송파대로 345 (가락동 헬리오시티) 104동 1204호</t>
  </si>
  <si>
    <t>010-2008-3924</t>
  </si>
  <si>
    <t>htkong@in-soft.co.kr</t>
  </si>
  <si>
    <t>(양)59.03.24</t>
  </si>
  <si>
    <t>03.24</t>
  </si>
  <si>
    <t>160803</t>
  </si>
  <si>
    <t>이정우</t>
  </si>
  <si>
    <t>1143 6562</t>
  </si>
  <si>
    <t>830130-1156417</t>
  </si>
  <si>
    <t>경기도 광명시 하안동 하안로320 1016-403</t>
  </si>
  <si>
    <t>010-4382-6601</t>
  </si>
  <si>
    <t>jwlee@in-soft.co.kr</t>
  </si>
  <si>
    <t>(양)83.01.30</t>
  </si>
  <si>
    <t>01.30</t>
  </si>
  <si>
    <t>170206</t>
  </si>
  <si>
    <t>신새미</t>
  </si>
  <si>
    <t>1178 8906</t>
  </si>
  <si>
    <t>920601-2018423</t>
  </si>
  <si>
    <t>컴퓨터정보과</t>
  </si>
  <si>
    <t>서울시 성동구 금호로3길 10, 마동 410호</t>
  </si>
  <si>
    <t>010-9028-5879</t>
  </si>
  <si>
    <t>smshin@in-soft.co.kr</t>
  </si>
  <si>
    <t>(양)92.06.01</t>
  </si>
  <si>
    <t>06.01</t>
  </si>
  <si>
    <t>170302</t>
  </si>
  <si>
    <t>김우민</t>
  </si>
  <si>
    <t>900622-1071016</t>
  </si>
  <si>
    <t>인하항공직업전문학교</t>
  </si>
  <si>
    <t>항공정비학과</t>
  </si>
  <si>
    <t>인천시 연수구 원인재로 14, 7동 403호 (동춘동, 무지개마을아파트)</t>
  </si>
  <si>
    <t>010-7706-7972</t>
  </si>
  <si>
    <t>wmkim@in-soft.co.kr</t>
  </si>
  <si>
    <t>(양)90.06.22</t>
  </si>
  <si>
    <t>06.22</t>
  </si>
  <si>
    <t>180401</t>
  </si>
  <si>
    <t>서울시 구로구  부일로1길 65, 102동 202호 (온수동, 양지삼성원빌)</t>
  </si>
  <si>
    <t>180702</t>
  </si>
  <si>
    <t>이상호</t>
  </si>
  <si>
    <t>1189 0668</t>
  </si>
  <si>
    <t>740813-1023311</t>
  </si>
  <si>
    <t>고려대학교사범대학부속고등학교</t>
  </si>
  <si>
    <t>서울시 성북구 숭인로2길 61 동부센트레빌 아파트 107동 701호</t>
  </si>
  <si>
    <t>010-3266-4132</t>
  </si>
  <si>
    <t>sholee@in-soft.co.kr</t>
  </si>
  <si>
    <t>(음)74.08.13</t>
  </si>
  <si>
    <t>9.22</t>
  </si>
  <si>
    <t>180703</t>
  </si>
  <si>
    <t>홍순길</t>
  </si>
  <si>
    <t>1109 6637</t>
  </si>
  <si>
    <t>860215-1224213</t>
  </si>
  <si>
    <t>충주대학교</t>
  </si>
  <si>
    <t>서울시 강북구  월계로21가길 41, 101동 101호 (미아동, 미아한일유앤아이)</t>
  </si>
  <si>
    <t>010-5363-6269</t>
  </si>
  <si>
    <t>sghong@in-soft.co.kr</t>
  </si>
  <si>
    <t>(양)86.02.15</t>
  </si>
  <si>
    <t>2.15</t>
  </si>
  <si>
    <t>180801</t>
  </si>
  <si>
    <t>한정훈</t>
  </si>
  <si>
    <t>1150 1334</t>
  </si>
  <si>
    <t>920811-1031918</t>
  </si>
  <si>
    <t>서울시 강북구 수유동 718-9호</t>
  </si>
  <si>
    <t>010-4199-5311</t>
  </si>
  <si>
    <t>jhhan@in-soft.co.kr</t>
  </si>
  <si>
    <t>181107</t>
  </si>
  <si>
    <t>박찬호</t>
  </si>
  <si>
    <t>1243 4344</t>
  </si>
  <si>
    <t>920527-1860215</t>
  </si>
  <si>
    <t>서울시 영등포구 신길6동 4136번지</t>
  </si>
  <si>
    <t>010-3233-0918</t>
  </si>
  <si>
    <t>chpark@in-soft.co.kr</t>
  </si>
  <si>
    <t>(양)92.05.27</t>
  </si>
  <si>
    <t>5.27</t>
  </si>
  <si>
    <t>190101</t>
  </si>
  <si>
    <t>봉배근</t>
  </si>
  <si>
    <t>800810-1068319</t>
  </si>
  <si>
    <t>경기도 부천시 양지로184번길 8-3 401호</t>
  </si>
  <si>
    <t>010-3651-1299</t>
  </si>
  <si>
    <t>bgbong@in-soft.co.kr</t>
  </si>
  <si>
    <t>(양)80.08.10</t>
  </si>
  <si>
    <t>8.10</t>
  </si>
  <si>
    <t>190302</t>
  </si>
  <si>
    <t>윤종연</t>
  </si>
  <si>
    <t>1190 9999</t>
  </si>
  <si>
    <t>820521-1069515</t>
  </si>
  <si>
    <t>CKA</t>
  </si>
  <si>
    <t>서울시 강서구 화곡동 346-93 201호</t>
  </si>
  <si>
    <t>010-3828-0521</t>
  </si>
  <si>
    <t>jongyeon@in-soft.co.kr</t>
  </si>
  <si>
    <t>(양)82.05.21</t>
  </si>
  <si>
    <t>05.21</t>
  </si>
  <si>
    <t>190401</t>
  </si>
  <si>
    <t>장원석</t>
  </si>
  <si>
    <t>1100 2731</t>
  </si>
  <si>
    <t>800822-1067014</t>
  </si>
  <si>
    <t xml:space="preserve">경기도 광명시 광명역로 28, 203동 3203 호 (일직동, 광명역센트럴자이) </t>
  </si>
  <si>
    <t>010-9182-2454</t>
  </si>
  <si>
    <t>wsjang@in-soft.co.kr</t>
  </si>
  <si>
    <t>(양)80.08.22</t>
  </si>
  <si>
    <t>190405</t>
  </si>
  <si>
    <t>정순형</t>
  </si>
  <si>
    <t>761010-1009913</t>
  </si>
  <si>
    <t>경기도 김포시 김포한강 8로 15 김포한강센트럴블루힐 511동 1701호</t>
  </si>
  <si>
    <t>010-4010-4273</t>
  </si>
  <si>
    <t>shjung@in-soft.co.kr</t>
  </si>
  <si>
    <t>191101</t>
  </si>
  <si>
    <t>송창학</t>
  </si>
  <si>
    <t>751214-1017413</t>
  </si>
  <si>
    <t>NCP</t>
  </si>
  <si>
    <t>서울시 강북구 한천로109길 83 번동솔그린A 104-806호</t>
  </si>
  <si>
    <t>010-2659-9152</t>
  </si>
  <si>
    <t>chsong@in-soft.co.kr</t>
  </si>
  <si>
    <t>(양)75.12.14</t>
  </si>
  <si>
    <t>200102</t>
  </si>
  <si>
    <t>이태운</t>
  </si>
  <si>
    <t>MSP사업본부</t>
  </si>
  <si>
    <t>731223-1064029</t>
  </si>
  <si>
    <t>서울과학종합대학원</t>
  </si>
  <si>
    <t>경영전문석사(MBA)</t>
  </si>
  <si>
    <t>AWS Certified Advanced Networking-Specialty</t>
  </si>
  <si>
    <t>서울시 강서구 방화동 876, 방화2차 마곡우림필유아파트 103동 1004호</t>
  </si>
  <si>
    <t>010-7132-6361</t>
  </si>
  <si>
    <t>twlee@in-soft.co.kr</t>
  </si>
  <si>
    <t>(양)73.12.23</t>
  </si>
  <si>
    <t>200104</t>
  </si>
  <si>
    <t>서울시 종로구 신영동 103-1번지 202호</t>
  </si>
  <si>
    <t>04.15</t>
  </si>
  <si>
    <t>강명완</t>
  </si>
  <si>
    <t>800315-1018319</t>
  </si>
  <si>
    <t>현대직업전문학교</t>
  </si>
  <si>
    <t>컴퓨터네트워크</t>
  </si>
  <si>
    <t>서울시 노원구 상계동 한글비석로 396 벽산아파트 107동 1406호</t>
  </si>
  <si>
    <t>010-8587-4562</t>
  </si>
  <si>
    <t>mwkang@in-soft.co.kr</t>
  </si>
  <si>
    <t>(양)80.03.15</t>
  </si>
  <si>
    <t>03.15</t>
  </si>
  <si>
    <t>박철한</t>
  </si>
  <si>
    <t>1248 8303</t>
  </si>
  <si>
    <t>930612-1410313</t>
  </si>
  <si>
    <t>게임멀티미디어</t>
  </si>
  <si>
    <t xml:space="preserve">서울시 관악구  신림로 151 </t>
  </si>
  <si>
    <t>010-4115-3770</t>
  </si>
  <si>
    <t>cheolhan@in-soft.co.kr</t>
  </si>
  <si>
    <t>(양)93.06.12</t>
  </si>
  <si>
    <t>최준영</t>
  </si>
  <si>
    <t>900309-1692715</t>
  </si>
  <si>
    <t>대구시 달서구 송현2동 530-9번지</t>
  </si>
  <si>
    <t>010-6700-1051</t>
  </si>
  <si>
    <t>jychoi@in-soft.co.kr</t>
  </si>
  <si>
    <t>(양)90.03.09</t>
  </si>
  <si>
    <t>03.09</t>
  </si>
  <si>
    <t>권보람</t>
  </si>
  <si>
    <t>890111-2794417</t>
  </si>
  <si>
    <t>스페인어중남미학</t>
  </si>
  <si>
    <t>대구시 수성구 명덕로76길 111-4</t>
  </si>
  <si>
    <t>010-3793-2706</t>
  </si>
  <si>
    <t>brkwon@in-soft.co.kr</t>
  </si>
  <si>
    <t>(양)89.01.11</t>
  </si>
  <si>
    <t>유지현</t>
  </si>
  <si>
    <t>730418-1229019</t>
  </si>
  <si>
    <t>vsphere5.5</t>
  </si>
  <si>
    <t>MCSE2000</t>
  </si>
  <si>
    <t>경기도 김포시 김포한강7로 22번길 22, 510동1703호</t>
  </si>
  <si>
    <t>010-3014-7967</t>
  </si>
  <si>
    <t>jhryu@in-soft.co.kr</t>
  </si>
  <si>
    <t>(양)73.04.18</t>
  </si>
  <si>
    <t>04.18</t>
  </si>
  <si>
    <t>고대영</t>
  </si>
  <si>
    <t>931214-1067721</t>
  </si>
  <si>
    <t>재능대학</t>
  </si>
  <si>
    <t>주얼리금속디자인</t>
  </si>
  <si>
    <t>인천시 남동구 장수로 27, 108동 501호 (장수동, 주공아파트)</t>
  </si>
  <si>
    <t>010-6271-4384</t>
  </si>
  <si>
    <t>dygo@in-soft.co.kr</t>
  </si>
  <si>
    <t>(음)93.12.14</t>
  </si>
  <si>
    <t>이상목</t>
  </si>
  <si>
    <t>810514-1163011</t>
  </si>
  <si>
    <t>유비쿼터스컴퓨팅</t>
  </si>
  <si>
    <t>서울시 도봉구 방학로11길33, 101동 409호</t>
  </si>
  <si>
    <t>010-4177-4006</t>
  </si>
  <si>
    <t>lsm@in-soft.co.kr</t>
  </si>
  <si>
    <t>(양)81.05.14</t>
  </si>
  <si>
    <t>백석곤</t>
  </si>
  <si>
    <t>1281 3412</t>
  </si>
  <si>
    <t>791116-1899515</t>
  </si>
  <si>
    <t>경기도 광명시 양지로 16, 103동 2304호</t>
  </si>
  <si>
    <t>010-8963-4667</t>
  </si>
  <si>
    <t>sgbaek@in-soft.co.kr</t>
  </si>
  <si>
    <t>(양)79.11.16</t>
  </si>
  <si>
    <t>문효진</t>
  </si>
  <si>
    <t>910818-2064114</t>
  </si>
  <si>
    <t>졸업예정</t>
  </si>
  <si>
    <t>AWS Certified Solutions Architect - Professional</t>
  </si>
  <si>
    <t>리눅스마스터</t>
  </si>
  <si>
    <t>서울시 강서구 강서로56나길 110, 106동 1201호</t>
  </si>
  <si>
    <t>010-7387-1587</t>
  </si>
  <si>
    <t>hjmoon@in-soft.co.kr</t>
  </si>
  <si>
    <t>(양)91.08.18</t>
  </si>
  <si>
    <t>08.18</t>
  </si>
  <si>
    <t>210103</t>
  </si>
  <si>
    <t>(양)76.01.17</t>
  </si>
  <si>
    <t>01.17</t>
  </si>
  <si>
    <t>안정열</t>
  </si>
  <si>
    <t>1147 3672</t>
  </si>
  <si>
    <t>811201-1247010</t>
  </si>
  <si>
    <t>경기도 부천시 계남로 334번길 33-12 2층</t>
  </si>
  <si>
    <t>010-8639-8601</t>
  </si>
  <si>
    <t>jyahn@in-soft.co.kr</t>
  </si>
  <si>
    <t>(양)81.12.01</t>
  </si>
  <si>
    <t>12.01</t>
  </si>
  <si>
    <t>심용민</t>
  </si>
  <si>
    <t>891009-1673617</t>
  </si>
  <si>
    <t>검퓨터공학</t>
  </si>
  <si>
    <t>대구시 동구 아양로 11길 81-34 진주빌라 501</t>
  </si>
  <si>
    <t>010-4512-9329</t>
  </si>
  <si>
    <t>ymshim@in-soft.co.kr</t>
  </si>
  <si>
    <t>(양)89.10.09</t>
  </si>
  <si>
    <t>10.09</t>
  </si>
  <si>
    <t>유재동</t>
  </si>
  <si>
    <t>880923-1068916</t>
  </si>
  <si>
    <t>관동대학교</t>
  </si>
  <si>
    <t>경기도 성남시 중원구 광명로89 센트럴 푸르지오 시티 A동 1119호</t>
  </si>
  <si>
    <t>010-5691-4456</t>
  </si>
  <si>
    <t>jdyoo@in-soft.co.kr</t>
  </si>
  <si>
    <t>(양)88.09.23</t>
  </si>
  <si>
    <t>09.23</t>
  </si>
  <si>
    <t>오윤아</t>
  </si>
  <si>
    <t>921205-2156812</t>
  </si>
  <si>
    <t>선문대학교</t>
  </si>
  <si>
    <t>일어일본학</t>
  </si>
  <si>
    <t>인천시 미추홀구 숙골로 88번길 12, 108동 1402호 (도화동, 더샵 인천스카이타워 1단지)</t>
  </si>
  <si>
    <t>010-2399-1633</t>
  </si>
  <si>
    <t>yaoh@in-soft.co.kr</t>
  </si>
  <si>
    <t>(양)92.12.05</t>
  </si>
  <si>
    <t>12.05</t>
  </si>
  <si>
    <t>이성우</t>
  </si>
  <si>
    <t>900225-1012216</t>
  </si>
  <si>
    <t>송곡고등학교</t>
  </si>
  <si>
    <t>이공계</t>
  </si>
  <si>
    <t>서울시 강동구 풍성로 158, 504호</t>
  </si>
  <si>
    <t>010-5401-9982</t>
  </si>
  <si>
    <t>swlee@in-soft.co.kr</t>
  </si>
  <si>
    <t>(양)90.02.25</t>
  </si>
  <si>
    <t>02.25</t>
  </si>
  <si>
    <t>김도연</t>
  </si>
  <si>
    <t>950906-1079311</t>
  </si>
  <si>
    <t>동북고등학교</t>
  </si>
  <si>
    <t>생물학</t>
  </si>
  <si>
    <t>서울시 강동구 천중로52길 9-10, 603호</t>
  </si>
  <si>
    <t>010-2803-3266</t>
  </si>
  <si>
    <t>dykim@in-soft.co.kr</t>
  </si>
  <si>
    <t>(양)95.09.06</t>
  </si>
  <si>
    <t>09.06</t>
  </si>
  <si>
    <t>조호지</t>
  </si>
  <si>
    <t>860116-2109324</t>
  </si>
  <si>
    <t>계명문화대학</t>
  </si>
  <si>
    <t>대구시 달서구 장기로 88</t>
  </si>
  <si>
    <t>010-8235-1989</t>
  </si>
  <si>
    <t>hjjo@in-soft.co.kr</t>
  </si>
  <si>
    <t>(양)86.01.16</t>
  </si>
  <si>
    <t>방지훈</t>
  </si>
  <si>
    <t>821002-1075112</t>
  </si>
  <si>
    <t>경동대학교</t>
  </si>
  <si>
    <t>서울시 성북구 종암로23길 35, 201동 101호 (종암동, 래미안세레니티)</t>
  </si>
  <si>
    <t>010-2642-0181</t>
  </si>
  <si>
    <t>jhbang@in-soft.co.kr</t>
  </si>
  <si>
    <t>(양)82.10.02</t>
  </si>
  <si>
    <t>10.02</t>
  </si>
  <si>
    <t>경기도 고양시 일산서구 하이파크 3로 111, 211동 1403호</t>
  </si>
  <si>
    <t>gbjeung@in-soft.co.kr</t>
  </si>
  <si>
    <t>박다정</t>
  </si>
  <si>
    <t>871105-2126025</t>
  </si>
  <si>
    <t>제품디자인학</t>
  </si>
  <si>
    <t>컬러리스트산업기사</t>
  </si>
  <si>
    <t>서울시 관악구 남부순활로163나길 10, 201호 (신림동)</t>
  </si>
  <si>
    <t>010-2604-0400</t>
  </si>
  <si>
    <t>djpark@in-soft.co.kr</t>
  </si>
  <si>
    <t>(양)87.11.05</t>
  </si>
  <si>
    <t>김세영</t>
  </si>
  <si>
    <t>800913-2178617</t>
  </si>
  <si>
    <t>OCP 9i</t>
  </si>
  <si>
    <t>SCJP 1.4</t>
  </si>
  <si>
    <t>경기도 광명시 가림일로 101, 205동 907호</t>
  </si>
  <si>
    <t>010-6777-0913</t>
  </si>
  <si>
    <t>sykim@in-soft.co.kr</t>
  </si>
  <si>
    <t>(양)80.09.13</t>
  </si>
  <si>
    <t>09.13</t>
  </si>
  <si>
    <t>AA</t>
  </si>
  <si>
    <t>윤진석</t>
  </si>
  <si>
    <t>880212-1199518</t>
  </si>
  <si>
    <t>서울시 중랑구 봉화산로35길 14, 302호</t>
  </si>
  <si>
    <t>010-4737-1359</t>
  </si>
  <si>
    <t>jsyoon@in-soft.co.kr</t>
  </si>
  <si>
    <t>(양)88.02.12</t>
  </si>
  <si>
    <t>02.12</t>
  </si>
  <si>
    <t>김동환</t>
  </si>
  <si>
    <t>830401-1067513</t>
  </si>
  <si>
    <t>호텔관광경영</t>
  </si>
  <si>
    <t>서울시 관악구 신림동 1441-6, 3층</t>
  </si>
  <si>
    <t>010-8910-2220</t>
  </si>
  <si>
    <t>dhk@in-soft.co.kr</t>
  </si>
  <si>
    <t>(양)83.04.01</t>
  </si>
  <si>
    <t>04.01</t>
  </si>
  <si>
    <t>김태엽</t>
  </si>
  <si>
    <t>740717-1017119</t>
  </si>
  <si>
    <t>서울시 노원구 동이로 1356, 401동 705호 (상계동, 주공아파트)</t>
  </si>
  <si>
    <t>010-4385-9995</t>
  </si>
  <si>
    <t>kty@in-soft.co.kr</t>
  </si>
  <si>
    <t>(음)74.07.17</t>
  </si>
  <si>
    <t>07.17</t>
  </si>
  <si>
    <t>김재학</t>
  </si>
  <si>
    <t>680125-1094513</t>
  </si>
  <si>
    <t>대동고등학교</t>
  </si>
  <si>
    <t>서울시 금천구 가산동 148-21 301호</t>
  </si>
  <si>
    <t>010-2570-1106</t>
  </si>
  <si>
    <t>jaehak@in-soft.co.kr</t>
  </si>
  <si>
    <t>(음)68.01.25</t>
  </si>
  <si>
    <t>01.25</t>
  </si>
  <si>
    <t>호성민</t>
  </si>
  <si>
    <t>770725-1123311</t>
  </si>
  <si>
    <t>Azure Fundamentals</t>
  </si>
  <si>
    <t>Azure Solutions Architect Expert</t>
  </si>
  <si>
    <t>서울시 송파구 송파대로 567, 503동 1202호 (잠실동)</t>
  </si>
  <si>
    <t>010-8951-6721</t>
  </si>
  <si>
    <t>smho@in-soft.co.kr</t>
  </si>
  <si>
    <t>(양)77.07.25</t>
  </si>
  <si>
    <t>07.25</t>
  </si>
  <si>
    <t>이광식</t>
  </si>
  <si>
    <t>960212-1151115</t>
  </si>
  <si>
    <t>인천정보과학고등학교</t>
  </si>
  <si>
    <t>로봇응용과</t>
  </si>
  <si>
    <t>인천시 미추홀구 미추홀대로 486-35, 302호 (문학동)</t>
  </si>
  <si>
    <t>010-2359-7231</t>
  </si>
  <si>
    <t>gslee@in-soft.co.kr</t>
  </si>
  <si>
    <t>(양)96.02.12</t>
  </si>
  <si>
    <t>최강식</t>
  </si>
  <si>
    <t>811102-1465110</t>
  </si>
  <si>
    <t>아주자동차대학</t>
  </si>
  <si>
    <t>웹디자인</t>
  </si>
  <si>
    <t>경기도 부천시 장말로362번길 17, B동 301호 (심곡동, 도원아파트)</t>
  </si>
  <si>
    <t>010-4243-4004</t>
  </si>
  <si>
    <t>kschoi@in-soft.co.kr</t>
  </si>
  <si>
    <t>(양)81.11.02</t>
  </si>
  <si>
    <t>11.02</t>
  </si>
  <si>
    <t>오두일</t>
  </si>
  <si>
    <t>851010-1094111</t>
  </si>
  <si>
    <t>경원고등학교</t>
  </si>
  <si>
    <t>문과</t>
  </si>
  <si>
    <t>대전시 유성구 전민동 370-4번지 305호</t>
  </si>
  <si>
    <t>010-7103-5215</t>
  </si>
  <si>
    <t>dioh@in-soft.co.kr</t>
  </si>
  <si>
    <t>(양)85.10.10</t>
  </si>
  <si>
    <t>김경식</t>
  </si>
  <si>
    <t>761023-1030619</t>
  </si>
  <si>
    <t>안산대학교</t>
  </si>
  <si>
    <t>경기도 고양시 일산서구 덕이로 238, 101동 703호</t>
  </si>
  <si>
    <t>010-5278-7656</t>
  </si>
  <si>
    <t>(음)76.10.23</t>
  </si>
  <si>
    <t>10.23</t>
  </si>
  <si>
    <t>이정현</t>
  </si>
  <si>
    <t>900930-1065117</t>
  </si>
  <si>
    <t>보건관리학</t>
  </si>
  <si>
    <t>서울시 도봉구 방학로 7길 15, 102동 505호</t>
  </si>
  <si>
    <t>010-3100-0935</t>
  </si>
  <si>
    <t>(양)90.09.30</t>
  </si>
  <si>
    <t>09.30</t>
  </si>
  <si>
    <t>김수진</t>
  </si>
  <si>
    <t>960120-2185113</t>
  </si>
  <si>
    <t>경인여자대학교</t>
  </si>
  <si>
    <t>서울시 영등포구 선유로9나길 8, 101동 207호 (문래동5가, 두산위브)</t>
  </si>
  <si>
    <t>010-9304-9978</t>
  </si>
  <si>
    <t>sujin@in-soft.co.kr</t>
  </si>
  <si>
    <t>(양)96.01.20</t>
  </si>
  <si>
    <t>김정기</t>
  </si>
  <si>
    <t>681007-1018035</t>
  </si>
  <si>
    <t>인천시 부평구  안남로222번길 30, 201동 311호 (산곡동, 경남아파트)</t>
  </si>
  <si>
    <t>010-6275-9606</t>
  </si>
  <si>
    <t>jkkim@in-soft.co.kr</t>
  </si>
  <si>
    <t>(양)68.10.07</t>
  </si>
  <si>
    <t>10.07</t>
  </si>
  <si>
    <t>오수경</t>
  </si>
  <si>
    <t>901029-2066112</t>
  </si>
  <si>
    <t>명지전문대학</t>
  </si>
  <si>
    <t>세무회계</t>
  </si>
  <si>
    <t>전산세무2급</t>
  </si>
  <si>
    <t>전산회계2급</t>
  </si>
  <si>
    <t>서울시 강서구  곰달래로45길 15, B101호 (화곡동)</t>
  </si>
  <si>
    <t>010-4719-1617</t>
  </si>
  <si>
    <t>sgoh@in-soft.co.kr</t>
  </si>
  <si>
    <t>(양)90.10.29</t>
  </si>
  <si>
    <t>이호준</t>
  </si>
  <si>
    <t>1122 7441</t>
  </si>
  <si>
    <t>710507-1026133</t>
  </si>
  <si>
    <t>인천시 서구 비즈니스로 41, 청라한양수지인 555동 304호</t>
  </si>
  <si>
    <t>010-6362-2764</t>
  </si>
  <si>
    <t>sion92@in-soft.co.kr</t>
  </si>
  <si>
    <t>(음)71.05.07</t>
  </si>
  <si>
    <t>6.11</t>
  </si>
  <si>
    <t>김건우</t>
  </si>
  <si>
    <t>930524-1779011</t>
  </si>
  <si>
    <t>대구시 서구  국채보상로 316, (평리동, 평리롯데캐슬)</t>
  </si>
  <si>
    <t>010-5150-4642</t>
  </si>
  <si>
    <t>gwkim@in-soft.co.kr</t>
  </si>
  <si>
    <t>(양)93.05.24</t>
  </si>
  <si>
    <t>오세관</t>
  </si>
  <si>
    <t>971107-1412416</t>
  </si>
  <si>
    <t>서울문화예술대학교</t>
  </si>
  <si>
    <t>조리학</t>
  </si>
  <si>
    <t>경기도 성남시 분당구  내정로165번길 35, 502동 402호 (수내동, 양지마을한양아파트)</t>
  </si>
  <si>
    <t>010-2847-9327</t>
  </si>
  <si>
    <t>skoh@in-soft.co.kr</t>
  </si>
  <si>
    <t>(양)97.11.07</t>
  </si>
  <si>
    <t>11.07</t>
  </si>
  <si>
    <t>정은혜</t>
  </si>
  <si>
    <t>960815-2048016</t>
  </si>
  <si>
    <t>환경에너지공학</t>
  </si>
  <si>
    <t>경기도 고양시 덕양구  고골길 40-42, B동 302호 (관산동, 디자인하우스)</t>
  </si>
  <si>
    <t>010-2067-7332</t>
  </si>
  <si>
    <t>ehjeong@in-soft.co.kr</t>
  </si>
  <si>
    <t>(양)96.08.15</t>
  </si>
  <si>
    <t>김경수</t>
  </si>
  <si>
    <t>950125-1064116</t>
  </si>
  <si>
    <t>정보처리과</t>
  </si>
  <si>
    <t>통신기기기능사</t>
  </si>
  <si>
    <t>서울시 강서구 방화2동 536-14 1층 102호</t>
  </si>
  <si>
    <t>010-4598-6907</t>
  </si>
  <si>
    <t>ksk@in-soft.co.kr</t>
  </si>
  <si>
    <t>(양)95.01.25</t>
  </si>
  <si>
    <t>79</t>
  </si>
  <si>
    <t>황익환</t>
  </si>
  <si>
    <t>860329-1085211</t>
  </si>
  <si>
    <t>한국공학대학교</t>
  </si>
  <si>
    <t>서울시 양천구 신정로 170, 104동 1601호</t>
  </si>
  <si>
    <t>010-4628-3941</t>
  </si>
  <si>
    <t>ihhwang@in-soft.co.kr</t>
  </si>
  <si>
    <t>(양)86.03.29</t>
  </si>
  <si>
    <t>220504</t>
  </si>
  <si>
    <t>SE, TA</t>
  </si>
  <si>
    <t>정구익</t>
  </si>
  <si>
    <t>정보과학대학원</t>
  </si>
  <si>
    <t>OCP 11g</t>
  </si>
  <si>
    <t>서울특별시 강서구 화곡동 351-26(더원샵 503호)</t>
  </si>
  <si>
    <t>010-4755-3597</t>
  </si>
  <si>
    <t xml:space="preserve">gijeong@in-soft.co.kr </t>
  </si>
  <si>
    <t>(양)90.01.05</t>
  </si>
  <si>
    <t>220603</t>
  </si>
  <si>
    <t>최송</t>
  </si>
  <si>
    <t>서비스개발1팀</t>
  </si>
  <si>
    <t>910408-2184623</t>
  </si>
  <si>
    <t>화곡여자정보산업고등학교</t>
  </si>
  <si>
    <t>ocjp</t>
  </si>
  <si>
    <t xml:space="preserve">서울시 강서구 화곡로 33길 5-9 광림아트빌라 302호
</t>
  </si>
  <si>
    <t>010-5637-1524</t>
  </si>
  <si>
    <t>schoi@in-soft.co.kr</t>
  </si>
  <si>
    <t xml:space="preserve">(양)91.04.08
</t>
  </si>
  <si>
    <t>83</t>
  </si>
  <si>
    <t>220707</t>
  </si>
  <si>
    <t>홍석호</t>
  </si>
  <si>
    <t>940202-1200279</t>
  </si>
  <si>
    <t>강릉원주대학교</t>
  </si>
  <si>
    <t>경기도 수원시 권선구 일월천로 16번길 39 101동 1401호</t>
  </si>
  <si>
    <t>010-5913-6431</t>
  </si>
  <si>
    <t>shhong@in-soft.co.kr</t>
  </si>
  <si>
    <t>(양)94.02.02</t>
  </si>
  <si>
    <t>220708</t>
  </si>
  <si>
    <t>안종식</t>
  </si>
  <si>
    <t>790728-1148827</t>
  </si>
  <si>
    <t>인천 서구 봉오재3로 66 루원시티프라디움 104동 702호</t>
  </si>
  <si>
    <t>010-2255-7864</t>
  </si>
  <si>
    <t>jsa@in-soft.co.kr</t>
  </si>
  <si>
    <t>(양)79.07.28</t>
  </si>
  <si>
    <t>220905</t>
  </si>
  <si>
    <t>추연경</t>
  </si>
  <si>
    <t>871010-2697014</t>
  </si>
  <si>
    <t>영진 전문대</t>
  </si>
  <si>
    <t>디지털경영</t>
  </si>
  <si>
    <t>대구 동구 동화천로 77길 30, 312동 703호</t>
  </si>
  <si>
    <t>010-4807-0665</t>
  </si>
  <si>
    <t>ykchu@in-soft.co.kr</t>
  </si>
  <si>
    <t>(양)87.10.10</t>
  </si>
  <si>
    <t>최락길</t>
  </si>
  <si>
    <t>800315-1226412</t>
  </si>
  <si>
    <t>서울 마포구 합정동 449-6 진흥빌 503호</t>
  </si>
  <si>
    <t>010-8735-8380</t>
  </si>
  <si>
    <t>rkchoi@in-soft.co.kr</t>
  </si>
  <si>
    <t>이항원</t>
  </si>
  <si>
    <t>831118-1032528</t>
  </si>
  <si>
    <t>서울시 노원구 월계동 392-33번지 이레리치빌 401호</t>
  </si>
  <si>
    <t>010-9228-2631</t>
  </si>
  <si>
    <t>hwlee@in-soft.co.kr</t>
  </si>
  <si>
    <t>(양)83.11.18</t>
  </si>
  <si>
    <t>sw</t>
  </si>
  <si>
    <t>염정아</t>
  </si>
  <si>
    <t>클라우드 si1팀</t>
  </si>
  <si>
    <t>920408-2178621</t>
  </si>
  <si>
    <t>경기도 군포시 고산로 667번길 34 개나리아파트</t>
  </si>
  <si>
    <t>010-4141-9294</t>
  </si>
  <si>
    <t>jayeom@in-soft.co.kr</t>
  </si>
  <si>
    <t>(양)92.04.08</t>
  </si>
  <si>
    <t>김민정</t>
  </si>
  <si>
    <t>801111-2671626</t>
  </si>
  <si>
    <t>서울시 강남구 자곡로 202, 323호</t>
  </si>
  <si>
    <t>010-9360-1160</t>
  </si>
  <si>
    <t>mjkim@in-soft.co.kr</t>
  </si>
  <si>
    <t>(양)80.11.11</t>
  </si>
  <si>
    <t>권태윤</t>
  </si>
  <si>
    <t>740616-1802419</t>
  </si>
  <si>
    <t>서울미디어대학원</t>
  </si>
  <si>
    <t>미디어경영</t>
  </si>
  <si>
    <t>마이데이터관리사</t>
  </si>
  <si>
    <t>경북 포항시 북구 장량로 127변길 10, 풀니스 7차 301호</t>
  </si>
  <si>
    <t>010-3282-0616</t>
  </si>
  <si>
    <t>tykwon@in-soft.co.kr</t>
  </si>
  <si>
    <t>(양)74.06.16</t>
  </si>
  <si>
    <t>웹디</t>
  </si>
  <si>
    <t>김은정</t>
  </si>
  <si>
    <t>UI/UX플랫폼팀</t>
  </si>
  <si>
    <t>710418-2057744</t>
  </si>
  <si>
    <t>계원조형대학</t>
  </si>
  <si>
    <t>조형학과 회화</t>
  </si>
  <si>
    <t>경기도 부천시 송내대로30번길 38 욱일3차 가동 408호</t>
  </si>
  <si>
    <t>010-2363-4032</t>
  </si>
  <si>
    <t>ejkim@in-soft.co.kr</t>
  </si>
  <si>
    <t>(양)71.04.18</t>
  </si>
  <si>
    <t>김주현</t>
  </si>
  <si>
    <t>821001-1267717</t>
  </si>
  <si>
    <t>경북보건대학교</t>
  </si>
  <si>
    <t>컴퓨터계열</t>
  </si>
  <si>
    <t>서울시 영등포구 선유로33길 18 대우이안2차 103-601호</t>
  </si>
  <si>
    <t>010-2361-4720</t>
  </si>
  <si>
    <t>juhyun@in-soft.co.kr</t>
  </si>
  <si>
    <t>(양)82.10.01</t>
  </si>
  <si>
    <t>이강윤</t>
  </si>
  <si>
    <t>720505-1625826</t>
  </si>
  <si>
    <t>조선대학교 일반대학원</t>
  </si>
  <si>
    <t>인천 서구 검단로768번길 19 금호어울림아파트 106동 103호</t>
  </si>
  <si>
    <t>010-3635-4919</t>
  </si>
  <si>
    <t>kylee@in-soft.co.kr</t>
  </si>
  <si>
    <t>(음)72.05.05</t>
  </si>
  <si>
    <t>김의태</t>
  </si>
  <si>
    <t>OpenManeger개발</t>
  </si>
  <si>
    <t>880215-1403111</t>
  </si>
  <si>
    <t>건양대학교</t>
  </si>
  <si>
    <t>FTK ACE</t>
  </si>
  <si>
    <t>인천광역시 부평구 굴포로 105 110동 504호</t>
  </si>
  <si>
    <t>010-4134-5018</t>
  </si>
  <si>
    <t>w.dev.bear@gmail.com</t>
  </si>
  <si>
    <t>(양)88.02.15</t>
  </si>
  <si>
    <t>95</t>
  </si>
  <si>
    <t>기타</t>
  </si>
  <si>
    <t>박수민</t>
  </si>
  <si>
    <t>930503-2632218</t>
  </si>
  <si>
    <t>동국대학교(경주)</t>
  </si>
  <si>
    <t>관광레저경영</t>
  </si>
  <si>
    <t>대구광역시 동구 메디밸리로 18 1003동 1104호</t>
  </si>
  <si>
    <t>010-8010-4032</t>
  </si>
  <si>
    <t>sm050365@gmail.com</t>
  </si>
  <si>
    <t>(양)93.05.03</t>
  </si>
  <si>
    <t>CA팀</t>
  </si>
  <si>
    <t>컴퓨터과</t>
  </si>
  <si>
    <t>Certified Kubernetes Administrator (CKA)</t>
  </si>
  <si>
    <t>AWS Certified Cloud Practitioner</t>
  </si>
  <si>
    <t>000917-3069510</t>
  </si>
  <si>
    <t>서울광운전자공업고</t>
  </si>
  <si>
    <t>전자통신과</t>
  </si>
  <si>
    <t>서울시 금천구 독산로 68가길 17 202호</t>
  </si>
  <si>
    <t>010-9370-9641</t>
  </si>
  <si>
    <t>lsw@in-soft.co.kr</t>
  </si>
  <si>
    <t>(양)00.09.17</t>
  </si>
  <si>
    <t>이도관</t>
  </si>
  <si>
    <t>940815-1820414</t>
  </si>
  <si>
    <t>전자공학과</t>
  </si>
  <si>
    <t>서울특별시 강북구 번동 462-100</t>
  </si>
  <si>
    <t>010-2690-5279</t>
  </si>
  <si>
    <t>dglee@in-soft.co.kr</t>
  </si>
  <si>
    <t>(양)94.08.15</t>
  </si>
  <si>
    <t>대전시 유성구 지족로148번길 22 
LH네이처뷰 308동 1801호</t>
  </si>
  <si>
    <t>(음)75.03.25</t>
  </si>
  <si>
    <t>우엔</t>
  </si>
  <si>
    <t>961002-6920039</t>
  </si>
  <si>
    <t>서울시, 마포구 창전동 서강로3길25</t>
  </si>
  <si>
    <t>010-5853-0210</t>
  </si>
  <si>
    <t>uyen@in-soft.co.kr</t>
  </si>
  <si>
    <t>(양)96.10.02</t>
  </si>
  <si>
    <t>웹퍼블리셔</t>
  </si>
  <si>
    <t>성수진</t>
  </si>
  <si>
    <t>NIA 사업팀</t>
  </si>
  <si>
    <t>921106-2692611</t>
  </si>
  <si>
    <t>계명문화대학교</t>
  </si>
  <si>
    <t>광고디자인과</t>
  </si>
  <si>
    <t>GTQ포토샵1급</t>
  </si>
  <si>
    <t>대구광역시 달서구 중흥로13길 30-8, A동 202호</t>
  </si>
  <si>
    <t>010-9359-2975</t>
  </si>
  <si>
    <t>sjseong@in-soft.co.kr</t>
  </si>
  <si>
    <t>(양)92.11.06</t>
  </si>
  <si>
    <t>DBA</t>
  </si>
  <si>
    <t>조선희</t>
  </si>
  <si>
    <t>MOC팀</t>
  </si>
  <si>
    <t>810324-1051714</t>
  </si>
  <si>
    <t>e-business</t>
  </si>
  <si>
    <t>부천</t>
  </si>
  <si>
    <t>sql개발자</t>
  </si>
  <si>
    <t>경기도 용인시 기흥구 동백죽전대로527번길 67 신동백롯데캐슬 에코2단지 206동1102호</t>
  </si>
  <si>
    <t>010-4223-3600</t>
  </si>
  <si>
    <t>shcho@in-soft.co.kr</t>
  </si>
  <si>
    <t>(음)81.02.19</t>
  </si>
  <si>
    <t>이승용</t>
  </si>
  <si>
    <t>630521-1455313</t>
  </si>
  <si>
    <t>세종대학원</t>
  </si>
  <si>
    <t>정보통신학</t>
  </si>
  <si>
    <t>경기도 성남시 분당구 판교원로 81번길</t>
  </si>
  <si>
    <t>010-3710-9757</t>
  </si>
  <si>
    <t>srlee05@in-soft.co.kr</t>
  </si>
  <si>
    <t>(양)63.05.21</t>
  </si>
  <si>
    <t>pm,기획</t>
  </si>
  <si>
    <t>이문수</t>
  </si>
  <si>
    <t>730820-1036713</t>
  </si>
  <si>
    <t>서울시 금천구 가산디지철2로 160-37, B동 1211gh(가산동)</t>
  </si>
  <si>
    <t>010-3038-8912</t>
  </si>
  <si>
    <t>mslee@in-soft.co.kr</t>
  </si>
  <si>
    <t>(양)73.08.20</t>
  </si>
  <si>
    <t>박재형</t>
  </si>
  <si>
    <t>클라우드네이티브사업본부</t>
  </si>
  <si>
    <t>클라우드SRE 팀</t>
  </si>
  <si>
    <t>970715-1041521</t>
  </si>
  <si>
    <t>디지털콘텐츠학과</t>
  </si>
  <si>
    <t>AWS-SAA</t>
  </si>
  <si>
    <t>서울특별시 송파구 오금로 551 송파파크센트럴 203-1105</t>
  </si>
  <si>
    <t>010-4621-4209</t>
  </si>
  <si>
    <t>pjh@in-soft.co.kr</t>
  </si>
  <si>
    <t>(양)97.07.15</t>
  </si>
  <si>
    <t>박도윤</t>
  </si>
  <si>
    <t>moc팀</t>
  </si>
  <si>
    <t>941220-2063919</t>
  </si>
  <si>
    <t>동국대학</t>
  </si>
  <si>
    <t>가정교육과</t>
  </si>
  <si>
    <t>Microsoft Certified: Azure Fundamentals</t>
  </si>
  <si>
    <t xml:space="preserve">CCNA (Cisco Certification Network Associate) </t>
  </si>
  <si>
    <t xml:space="preserve">네트워크관리사2급 </t>
  </si>
  <si>
    <t>서울시 강서구 가로공원로 200-26,202호</t>
  </si>
  <si>
    <t>010-3563-4330</t>
  </si>
  <si>
    <t>dypark@in-soft.co.kr</t>
  </si>
  <si>
    <t>(양)94.12.20</t>
  </si>
  <si>
    <t>김민우</t>
  </si>
  <si>
    <t>사업지원팀</t>
  </si>
  <si>
    <t>700315-1155111</t>
  </si>
  <si>
    <t>인천전문대학교</t>
  </si>
  <si>
    <t>서울특별시 구로구 개봉로3길 87 104동 103호(개봉동, 개봉한진아파트)</t>
  </si>
  <si>
    <t>010-6334-2872</t>
  </si>
  <si>
    <t>mwkim@in-soft.co.kr</t>
  </si>
  <si>
    <t>(양)70.03.15</t>
  </si>
  <si>
    <t>전병찬</t>
  </si>
  <si>
    <t>970729-1029314</t>
  </si>
  <si>
    <t>송현고등학교</t>
  </si>
  <si>
    <t>경기도 구리시 수택천로25번길 4 우건빌리지 101동 502호</t>
  </si>
  <si>
    <t>010-4221-1045</t>
  </si>
  <si>
    <t>bcjeon@in-soft.co.kr</t>
  </si>
  <si>
    <t>(양)97.07.29</t>
  </si>
  <si>
    <t>김인수</t>
  </si>
  <si>
    <t>오픈매니저팀</t>
  </si>
  <si>
    <t>980119-1096011</t>
  </si>
  <si>
    <t>컴퓨터시뮬레이션과</t>
  </si>
  <si>
    <t>서울특별시 동작구 국사봉2길50, 303호</t>
  </si>
  <si>
    <t>010-7143-0547</t>
  </si>
  <si>
    <t>iskim@in-soft.co.kr</t>
  </si>
  <si>
    <t>(양)98.01.19</t>
  </si>
  <si>
    <t>111</t>
  </si>
  <si>
    <t>이나라</t>
  </si>
  <si>
    <t>9507282-164616</t>
  </si>
  <si>
    <t>청년복지</t>
  </si>
  <si>
    <t>경기도 안산시 상록구 성호로 6 402호</t>
  </si>
  <si>
    <t>010-7705-1926</t>
  </si>
  <si>
    <t>nrlee@in-soft.co.kr</t>
  </si>
  <si>
    <t>(양)95.07.28</t>
  </si>
  <si>
    <t>112</t>
  </si>
  <si>
    <t>김성희</t>
  </si>
  <si>
    <t>891212-2673716</t>
  </si>
  <si>
    <t>서양화과</t>
  </si>
  <si>
    <t>경북 경산</t>
  </si>
  <si>
    <t>대구시 수성구 노변로 11 (노변대백맨션 103동 805호)</t>
  </si>
  <si>
    <t>010-5877-4077</t>
  </si>
  <si>
    <t>shkim@in-soft.co.kr</t>
  </si>
  <si>
    <t>(양)89.12.12</t>
  </si>
  <si>
    <t>장윤경</t>
  </si>
  <si>
    <t>960726-2686120</t>
  </si>
  <si>
    <t>뷰티코디네이션과</t>
  </si>
  <si>
    <t>대구 남구 대명복개로192 세신아파트 가동 206호</t>
  </si>
  <si>
    <t>010-4907-6646</t>
  </si>
  <si>
    <t xml:space="preserve">ygjang@in-soft.co.kr </t>
  </si>
  <si>
    <t>(양)96.07.26</t>
  </si>
  <si>
    <t>박주은</t>
  </si>
  <si>
    <t>990403-2836913</t>
  </si>
  <si>
    <t>부경대학교</t>
  </si>
  <si>
    <t>경북 경산시 하양읍 대경로 693-11 201호</t>
  </si>
  <si>
    <t>010-4279-7715</t>
  </si>
  <si>
    <t xml:space="preserve"> jepark@in-soft.co.kr</t>
  </si>
  <si>
    <t>(양)99.04.03</t>
  </si>
  <si>
    <t>홍태호</t>
  </si>
  <si>
    <t>AI사업부문</t>
  </si>
  <si>
    <t>MSA Dev팀</t>
  </si>
  <si>
    <t>861208-1009010</t>
  </si>
  <si>
    <t>서울시립대학원</t>
  </si>
  <si>
    <t>전기전자컴퓨터공학부</t>
  </si>
  <si>
    <t>서울시 노원구 마들로1길 44 월계서광아파트 102동 605호</t>
  </si>
  <si>
    <t>010-4028-1371</t>
  </si>
  <si>
    <t>thhong@in-soft.co.kr</t>
  </si>
  <si>
    <t>(양)86.12.08</t>
  </si>
  <si>
    <t>개발 AA</t>
  </si>
  <si>
    <t>강재영</t>
  </si>
  <si>
    <t>740518-1162812</t>
  </si>
  <si>
    <t>논산</t>
  </si>
  <si>
    <t>경기도 수원시 영통구 태장로 71번길 19205동 102호 (동수원 자이2차)</t>
  </si>
  <si>
    <t>010–4510–7477</t>
  </si>
  <si>
    <t>jykang@in-soft.co.kr</t>
  </si>
  <si>
    <t>개발-앱</t>
  </si>
  <si>
    <t>손상희</t>
  </si>
  <si>
    <t>781020-1920829</t>
  </si>
  <si>
    <t>울산과학대학</t>
  </si>
  <si>
    <t>기계설계학부</t>
  </si>
  <si>
    <t>강서구 화곡동 1107-3 연우넥스트뷰 605</t>
  </si>
  <si>
    <t>010-4669-1832</t>
  </si>
  <si>
    <t>shson@in-soft.co.kr</t>
  </si>
  <si>
    <t>(양)78.02.07</t>
  </si>
  <si>
    <t>홍지환</t>
  </si>
  <si>
    <t>cloud Eng.</t>
  </si>
  <si>
    <t>850922-1068611</t>
  </si>
  <si>
    <t>국가평생교육진흥원 학점은행</t>
  </si>
  <si>
    <t>컴퓨터네트워크과</t>
  </si>
  <si>
    <t>경기도 하남시 감일백제로 35 1402동 2501호</t>
  </si>
  <si>
    <t>010-8030-0307</t>
  </si>
  <si>
    <t>jhhong@in-soft.co.kr</t>
  </si>
  <si>
    <t>(양)85.09.22</t>
  </si>
  <si>
    <t>박치원</t>
  </si>
  <si>
    <t>클라우드서비스 개발팀</t>
  </si>
  <si>
    <t>970707-1168128</t>
  </si>
  <si>
    <t>경기도 성남시 수정구 희망로 472 미도아파트 2동 1104호</t>
  </si>
  <si>
    <t>010-7916-2980</t>
  </si>
  <si>
    <t>cwpark@in-soft.co.kr</t>
  </si>
  <si>
    <t>(양)97.07.07</t>
  </si>
  <si>
    <t>120</t>
  </si>
  <si>
    <t>이다연</t>
  </si>
  <si>
    <t>Cloud Mesh팀</t>
  </si>
  <si>
    <t>920828-2184819</t>
  </si>
  <si>
    <t>경기도 의왕시 행복마을3로18 110-2408</t>
  </si>
  <si>
    <t>010-6267-8220</t>
  </si>
  <si>
    <t>(양)92.08.28</t>
  </si>
  <si>
    <t>차종호</t>
  </si>
  <si>
    <t>740917-1055311</t>
  </si>
  <si>
    <t>컴퓨터응용제어학과</t>
  </si>
  <si>
    <t>경기도 부천시 소사구 경인로29번길 13, 가동 304호 (송내동, 동신아파트)</t>
  </si>
  <si>
    <t>010-2953-2223</t>
  </si>
  <si>
    <t>jhcha@in-soft.co.kr</t>
  </si>
  <si>
    <t>(양)74.09.17</t>
  </si>
  <si>
    <t>김동현</t>
  </si>
  <si>
    <t>680527-1167421</t>
  </si>
  <si>
    <t>단국대학원</t>
  </si>
  <si>
    <t>멀티미디어공학과</t>
  </si>
  <si>
    <t>경기도 광주시 문형산길47번길 74-9, E동6호</t>
  </si>
  <si>
    <t>010-3799-3099</t>
  </si>
  <si>
    <t>(양)68.05.27</t>
  </si>
  <si>
    <t>최종민</t>
  </si>
  <si>
    <t>840502-1380810</t>
  </si>
  <si>
    <t>University of Sydney, Technology</t>
  </si>
  <si>
    <t>Computing</t>
  </si>
  <si>
    <t>시드니</t>
  </si>
  <si>
    <t>서울시 동대문구 홍릉로 8길 23</t>
  </si>
  <si>
    <t>010-7700-6087</t>
  </si>
  <si>
    <t>jmchoi@in-soft.co.kr</t>
  </si>
  <si>
    <t>(양)84.05.02</t>
  </si>
  <si>
    <t>박범진</t>
  </si>
  <si>
    <t>841227-1000000</t>
  </si>
  <si>
    <t>한서대학교</t>
  </si>
  <si>
    <t>컴퓨터정보공학과</t>
  </si>
  <si>
    <t>인천 미추홀구 주안1동 265-25 두울아파트</t>
  </si>
  <si>
    <t>010-2854-6549</t>
  </si>
  <si>
    <t>bjpark@in-soft.co.kr</t>
  </si>
  <si>
    <t>(양)84.12.27</t>
  </si>
  <si>
    <t>한영우</t>
  </si>
  <si>
    <t>760912-1029722</t>
  </si>
  <si>
    <t>서울시 금천구 벚꽃로 40 금천롯데캐슬골드파크1차아파트 111-606</t>
  </si>
  <si>
    <t>010-8918-1281</t>
  </si>
  <si>
    <t>126</t>
  </si>
  <si>
    <t>최진우</t>
  </si>
  <si>
    <t>129</t>
  </si>
  <si>
    <t>133</t>
  </si>
  <si>
    <t>NIA사업팀</t>
    <phoneticPr fontId="28" type="noConversion"/>
  </si>
  <si>
    <t>서비스사업본부</t>
    <phoneticPr fontId="28" type="noConversion"/>
  </si>
  <si>
    <r>
      <t xml:space="preserve">
(</t>
    </r>
    <r>
      <rPr>
        <sz val="11"/>
        <color theme="1"/>
        <rFont val="Calibri"/>
        <family val="3"/>
        <charset val="129"/>
        <scheme val="minor"/>
      </rPr>
      <t>기타의견</t>
    </r>
    <r>
      <rPr>
        <sz val="11"/>
        <color theme="1"/>
        <rFont val="Calibri"/>
        <family val="2"/>
        <scheme val="minor"/>
      </rPr>
      <t xml:space="preserve"> : </t>
    </r>
    <r>
      <rPr>
        <sz val="11"/>
        <color theme="1"/>
        <rFont val="Calibri"/>
        <family val="3"/>
        <charset val="129"/>
        <scheme val="minor"/>
      </rPr>
      <t>프로젝트에서도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내부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인력끼리만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일하는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규모가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프로젝트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 xml:space="preserve">보다
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3"/>
        <charset val="129"/>
        <scheme val="minor"/>
      </rPr>
      <t>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전후의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프로젝트나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파견시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외부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고객과의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회의나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소통이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잦다고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판단되는데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주로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갑이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을을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바라볼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때
호칭이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명확한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것이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소통이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원할하다고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판단됩니다</t>
    </r>
    <r>
      <rPr>
        <sz val="11"/>
        <color theme="1"/>
        <rFont val="Calibri"/>
        <family val="2"/>
        <scheme val="minor"/>
      </rPr>
      <t xml:space="preserve">.
</t>
    </r>
    <r>
      <rPr>
        <sz val="11"/>
        <color theme="1"/>
        <rFont val="Calibri"/>
        <family val="3"/>
        <charset val="129"/>
        <scheme val="minor"/>
      </rPr>
      <t>반면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갑의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입장에선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반대로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직무나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역할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분담의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호칭이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유리하다는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생각입니다</t>
    </r>
    <r>
      <rPr>
        <sz val="11"/>
        <color theme="1"/>
        <rFont val="Calibri"/>
        <family val="2"/>
        <scheme val="minor"/>
      </rPr>
      <t>.)</t>
    </r>
    <phoneticPr fontId="28" type="noConversion"/>
  </si>
  <si>
    <t>직급 체계와 관련하여 아래와 같은 직급 체계는 어떨까요?</t>
  </si>
  <si>
    <t>일단 NIA 및 공공연기관 등과 같은 곳은 아래와 같은 직급 체계를 이용하더군요</t>
  </si>
  <si>
    <r>
      <t>그래서 먼저 말씀하신 제안 2가지 중에는 </t>
    </r>
    <r>
      <rPr>
        <b/>
        <sz val="10"/>
        <color rgb="FF222222"/>
        <rFont val="맑은 고딕"/>
        <family val="3"/>
        <charset val="129"/>
      </rPr>
      <t>2안을 선택</t>
    </r>
    <r>
      <rPr>
        <sz val="7"/>
        <color rgb="FF222222"/>
        <rFont val="맑은 고딕"/>
        <family val="3"/>
        <charset val="129"/>
      </rPr>
      <t>합니다.</t>
    </r>
  </si>
  <si>
    <r>
      <t>다만 추가로 제안을 한다면</t>
    </r>
    <r>
      <rPr>
        <sz val="7"/>
        <color rgb="FF222222"/>
        <rFont val="맑은 고딕"/>
        <family val="3"/>
        <charset val="129"/>
      </rPr>
      <t> </t>
    </r>
    <r>
      <rPr>
        <b/>
        <sz val="7"/>
        <color rgb="FFFF0000"/>
        <rFont val="맑은 고딕"/>
        <family val="3"/>
        <charset val="129"/>
      </rPr>
      <t>아래와 같이 책임 직급을 </t>
    </r>
    <r>
      <rPr>
        <b/>
        <sz val="7"/>
        <color rgb="FF00345C"/>
        <rFont val="맑은 고딕"/>
        <family val="3"/>
        <charset val="129"/>
      </rPr>
      <t>책임 연구원</t>
    </r>
    <r>
      <rPr>
        <b/>
        <sz val="7"/>
        <color rgb="FFFF0000"/>
        <rFont val="맑은 고딕"/>
        <family val="3"/>
        <charset val="129"/>
      </rPr>
      <t>과 </t>
    </r>
    <r>
      <rPr>
        <b/>
        <sz val="7"/>
        <color rgb="FF00345C"/>
        <rFont val="맑은 고딕"/>
        <family val="3"/>
        <charset val="129"/>
      </rPr>
      <t>선임 연구원</t>
    </r>
    <r>
      <rPr>
        <b/>
        <sz val="7"/>
        <color rgb="FFFF0000"/>
        <rFont val="맑은 고딕"/>
        <family val="3"/>
        <charset val="129"/>
      </rPr>
      <t>으로 분류</t>
    </r>
    <r>
      <rPr>
        <sz val="7"/>
        <color rgb="FFFF0000"/>
        <rFont val="맑은 고딕"/>
        <family val="3"/>
        <charset val="129"/>
      </rPr>
      <t> </t>
    </r>
    <r>
      <rPr>
        <sz val="7"/>
        <color rgb="FF222222"/>
        <rFont val="맑은 고딕"/>
        <family val="3"/>
        <charset val="129"/>
      </rPr>
      <t>하는 것이 어떨지요.</t>
    </r>
  </si>
  <si>
    <t>  ※ 참고로 NIA의 직급체계가 아래와 같습니다. </t>
  </si>
  <si>
    <t>직금 계정(제안)</t>
  </si>
  <si>
    <t>수석 연구원</t>
  </si>
  <si>
    <t>책임 연구원</t>
  </si>
  <si>
    <t>선임 연구원</t>
  </si>
  <si>
    <t>주임 연구원</t>
  </si>
  <si>
    <t>최성현</t>
    <phoneticPr fontId="28" type="noConversion"/>
  </si>
  <si>
    <t>천승무</t>
    <phoneticPr fontId="28" type="noConversion"/>
  </si>
  <si>
    <t>사원</t>
    <phoneticPr fontId="28" type="noConversion"/>
  </si>
  <si>
    <t>대리</t>
    <phoneticPr fontId="28" type="noConversion"/>
  </si>
  <si>
    <t>과장</t>
    <phoneticPr fontId="28" type="noConversion"/>
  </si>
  <si>
    <t>차장</t>
    <phoneticPr fontId="28" type="noConversion"/>
  </si>
  <si>
    <t>부장</t>
    <phoneticPr fontId="28" type="noConversion"/>
  </si>
  <si>
    <t>경영지원본부</t>
    <phoneticPr fontId="28" type="noConversion"/>
  </si>
  <si>
    <t xml:space="preserve"> MSP사업본부</t>
    <phoneticPr fontId="28" type="noConversion"/>
  </si>
  <si>
    <t>경영지원본부</t>
    <phoneticPr fontId="28" type="noConversion"/>
  </si>
  <si>
    <t>솔루션사업본부</t>
    <phoneticPr fontId="28" type="noConversion"/>
  </si>
  <si>
    <t>서비스사업본부</t>
    <phoneticPr fontId="28" type="noConversion"/>
  </si>
  <si>
    <t>PMO및사업관리본부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</si>
</sst>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yyyy\-mm\-dd"/>
    <numFmt numFmtId="177" formatCode="000000\-0000000"/>
    <numFmt numFmtId="178" formatCode="0_ "/>
    <numFmt numFmtId="179" formatCode="0.0"/>
    <numFmt numFmtId="180" formatCode="yyyy\-mm"/>
    <numFmt numFmtId="181" formatCode="yyyy\-m"/>
    <numFmt numFmtId="182" formatCode="yy\-m\-d"/>
    <numFmt numFmtId="183" formatCode="yy\-mm\-dd"/>
  </numFmts>
  <fonts count="38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u/>
      <sz val="11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u/>
      <sz val="11"/>
      <color theme="10"/>
      <name val="Malgun Gothic"/>
      <family val="3"/>
      <charset val="129"/>
    </font>
    <font>
      <u/>
      <sz val="10"/>
      <color rgb="FF0000FF"/>
      <name val="Malgun Gothic"/>
      <family val="3"/>
      <charset val="129"/>
    </font>
    <font>
      <u/>
      <sz val="11"/>
      <color rgb="FF0000FF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rgb="FF0000FF"/>
      <name val="Malgun Gothic"/>
      <family val="3"/>
      <charset val="129"/>
    </font>
    <font>
      <u/>
      <sz val="10"/>
      <color rgb="FFFF0000"/>
      <name val="Malgun Gothic"/>
      <family val="3"/>
      <charset val="129"/>
    </font>
    <font>
      <u/>
      <sz val="9"/>
      <color theme="1"/>
      <name val="Malgun Gothic"/>
      <family val="3"/>
      <charset val="129"/>
    </font>
    <font>
      <u/>
      <sz val="10"/>
      <color rgb="FF0000FF"/>
      <name val="Malgun Gothic"/>
      <family val="3"/>
      <charset val="129"/>
    </font>
    <font>
      <u/>
      <sz val="10"/>
      <color theme="1"/>
      <name val="Malgun Gothic"/>
      <family val="3"/>
      <charset val="129"/>
    </font>
    <font>
      <u/>
      <sz val="10"/>
      <color rgb="FF0000FF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11"/>
      <color rgb="FF000000"/>
      <name val="Roboto"/>
    </font>
    <font>
      <sz val="11"/>
      <color rgb="FF000000"/>
      <name val="&quot;Malgun Gothic&quot;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0"/>
      <color rgb="FF000000"/>
      <name val="Malgun Gothic"/>
      <family val="3"/>
      <charset val="129"/>
    </font>
    <font>
      <sz val="10"/>
      <color theme="1"/>
      <name val="&quot;맑은 고딕&quot;"/>
      <family val="3"/>
      <charset val="129"/>
    </font>
    <font>
      <sz val="10"/>
      <color rgb="FFFF0000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sz val="9"/>
      <color theme="1"/>
      <name val="&quot;맑은 고딕&quot;"/>
      <family val="3"/>
      <charset val="129"/>
    </font>
    <font>
      <sz val="11"/>
      <color rgb="FF5E5E5E"/>
      <name val="&quot;Google Sans&quot;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7"/>
      <color rgb="FF222222"/>
      <name val="맑은 고딕"/>
      <family val="3"/>
      <charset val="129"/>
    </font>
    <font>
      <b/>
      <sz val="10"/>
      <color rgb="FF222222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b/>
      <sz val="7"/>
      <color rgb="FFFF0000"/>
      <name val="맑은 고딕"/>
      <family val="3"/>
      <charset val="129"/>
    </font>
    <font>
      <b/>
      <sz val="7"/>
      <color rgb="FF00345C"/>
      <name val="맑은 고딕"/>
      <family val="3"/>
      <charset val="129"/>
    </font>
    <font>
      <sz val="7"/>
      <color rgb="FFFF0000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b/>
      <sz val="7"/>
      <color rgb="FF222222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C6D9F0"/>
        <bgColor rgb="FFC6D9F0"/>
      </patternFill>
    </fill>
    <fill>
      <patternFill patternType="solid">
        <fgColor rgb="FFE5B8B7"/>
        <bgColor rgb="FFE5B8B7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rgb="FFFFFFCC"/>
      </patternFill>
    </fill>
    <fill>
      <patternFill patternType="solid">
        <fgColor rgb="FFFFFF66"/>
        <bgColor rgb="FFFFFF6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indexed="64"/>
      </patternFill>
    </fill>
    <fill>
      <patternFill patternType="solid">
        <fgColor rgb="FF00345C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8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176" fontId="1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79" fontId="4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78" fontId="4" fillId="6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0" fontId="11" fillId="9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12" fillId="9" borderId="1" xfId="0" applyFont="1" applyFill="1" applyBorder="1" applyAlignment="1">
      <alignment vertical="center"/>
    </xf>
    <xf numFmtId="49" fontId="4" fillId="8" borderId="1" xfId="0" applyNumberFormat="1" applyFont="1" applyFill="1" applyBorder="1" applyAlignment="1">
      <alignment vertical="center" shrinkToFit="1"/>
    </xf>
    <xf numFmtId="49" fontId="4" fillId="8" borderId="1" xfId="0" applyNumberFormat="1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8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0" fontId="4" fillId="10" borderId="5" xfId="0" applyFont="1" applyFill="1" applyBorder="1" applyAlignment="1">
      <alignment vertical="center"/>
    </xf>
    <xf numFmtId="0" fontId="4" fillId="1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4" fillId="9" borderId="1" xfId="0" applyFont="1" applyFill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49" fontId="4" fillId="0" borderId="6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center"/>
    </xf>
    <xf numFmtId="176" fontId="18" fillId="11" borderId="0" xfId="0" applyNumberFormat="1" applyFont="1" applyFill="1" applyAlignment="1">
      <alignment vertical="center"/>
    </xf>
    <xf numFmtId="180" fontId="4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9" fillId="11" borderId="0" xfId="0" applyFont="1" applyFill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shrinkToFit="1"/>
    </xf>
    <xf numFmtId="49" fontId="10" fillId="0" borderId="1" xfId="0" applyNumberFormat="1" applyFont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181" fontId="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176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176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176" fontId="24" fillId="0" borderId="1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178" fontId="4" fillId="0" borderId="7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shrinkToFit="1"/>
    </xf>
    <xf numFmtId="182" fontId="4" fillId="0" borderId="1" xfId="0" applyNumberFormat="1" applyFont="1" applyBorder="1" applyAlignment="1">
      <alignment horizontal="center" vertical="center"/>
    </xf>
    <xf numFmtId="183" fontId="4" fillId="0" borderId="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78" fontId="4" fillId="0" borderId="0" xfId="0" applyNumberFormat="1" applyFont="1" applyBorder="1" applyAlignment="1">
      <alignment horizontal="center" vertical="center"/>
    </xf>
    <xf numFmtId="176" fontId="26" fillId="0" borderId="1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27" fillId="11" borderId="1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vertical="center"/>
    </xf>
    <xf numFmtId="0" fontId="32" fillId="0" borderId="0" xfId="0" applyFont="1" applyAlignment="1">
      <alignment vertical="center" wrapText="1"/>
    </xf>
    <xf numFmtId="0" fontId="36" fillId="14" borderId="10" xfId="0" applyFont="1" applyFill="1" applyBorder="1" applyAlignment="1">
      <alignment horizontal="center" vertical="center" wrapText="1"/>
    </xf>
    <xf numFmtId="0" fontId="37" fillId="13" borderId="10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10" fillId="0" borderId="4" xfId="0" applyFont="1" applyBorder="1" applyAlignment="1">
      <alignment horizontal="center" vertical="center"/>
    </xf>
    <xf numFmtId="177" fontId="4" fillId="0" borderId="8" xfId="0" applyNumberFormat="1" applyFont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0" fontId="4" fillId="8" borderId="4" xfId="0" applyFont="1" applyFill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4" xfId="0" applyFont="1" applyBorder="1" applyAlignment="1">
      <alignment vertical="center"/>
    </xf>
  </cellXfs>
  <cellStyles count="1">
    <cellStyle name="표준" xfId="0" builtinId="0"/>
  </cellStyles>
  <dxfs count="7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49548;&#54532;&#53944;&#50920;&#50612;&#44592;&#49696;&#44221;&#47141;&#5161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ers\leewoojin\Documents\HR_15_&#52509;&#47924;\&#45236;&#49440;&#48264;&#548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aul@in-soft.co.kr" TargetMode="External"/><Relationship Id="rId21" Type="http://schemas.openxmlformats.org/officeDocument/2006/relationships/hyperlink" Target="mailto:cyan@in-soft.co.kr" TargetMode="External"/><Relationship Id="rId42" Type="http://schemas.openxmlformats.org/officeDocument/2006/relationships/hyperlink" Target="mailto:pstslee@in-soft.co.kr" TargetMode="External"/><Relationship Id="rId63" Type="http://schemas.openxmlformats.org/officeDocument/2006/relationships/hyperlink" Target="mailto:mskim@in-soft.co.kr" TargetMode="External"/><Relationship Id="rId84" Type="http://schemas.openxmlformats.org/officeDocument/2006/relationships/hyperlink" Target="mailto:wjchoi@in-soft.co.kr" TargetMode="External"/><Relationship Id="rId138" Type="http://schemas.openxmlformats.org/officeDocument/2006/relationships/hyperlink" Target="mailto:jsju@in-soft.co.kr" TargetMode="External"/><Relationship Id="rId159" Type="http://schemas.openxmlformats.org/officeDocument/2006/relationships/hyperlink" Target="mailto:psh@in-soft.co.kr" TargetMode="External"/><Relationship Id="rId170" Type="http://schemas.openxmlformats.org/officeDocument/2006/relationships/hyperlink" Target="mailto:iyjung@in-soft.co.kr" TargetMode="External"/><Relationship Id="rId191" Type="http://schemas.openxmlformats.org/officeDocument/2006/relationships/hyperlink" Target="mailto:hschae@in-soft.co.kr" TargetMode="External"/><Relationship Id="rId205" Type="http://schemas.openxmlformats.org/officeDocument/2006/relationships/hyperlink" Target="mailto:tekim@in-soft.co.kr" TargetMode="External"/><Relationship Id="rId226" Type="http://schemas.openxmlformats.org/officeDocument/2006/relationships/hyperlink" Target="mailto:bskim@in-soft.co.kr" TargetMode="External"/><Relationship Id="rId107" Type="http://schemas.openxmlformats.org/officeDocument/2006/relationships/hyperlink" Target="mailto:sspark@in-soft.co.kr" TargetMode="External"/><Relationship Id="rId11" Type="http://schemas.openxmlformats.org/officeDocument/2006/relationships/hyperlink" Target="mailto:yshwang@in-soft.co.kr" TargetMode="External"/><Relationship Id="rId32" Type="http://schemas.openxmlformats.org/officeDocument/2006/relationships/hyperlink" Target="mailto:swpark@in-soft.co.kr" TargetMode="External"/><Relationship Id="rId53" Type="http://schemas.openxmlformats.org/officeDocument/2006/relationships/hyperlink" Target="mailto:ksjang@in-soft.co.kr" TargetMode="External"/><Relationship Id="rId74" Type="http://schemas.openxmlformats.org/officeDocument/2006/relationships/hyperlink" Target="mailto:ikhyunkim@in-soft.co.kr" TargetMode="External"/><Relationship Id="rId128" Type="http://schemas.openxmlformats.org/officeDocument/2006/relationships/hyperlink" Target="mailto:dkhan@in-soft.co.kr" TargetMode="External"/><Relationship Id="rId149" Type="http://schemas.openxmlformats.org/officeDocument/2006/relationships/hyperlink" Target="mailto:jslee@in-soft.co.kr" TargetMode="External"/><Relationship Id="rId5" Type="http://schemas.openxmlformats.org/officeDocument/2006/relationships/hyperlink" Target="mailto:loveljh@in-soft.co.kr" TargetMode="External"/><Relationship Id="rId95" Type="http://schemas.openxmlformats.org/officeDocument/2006/relationships/hyperlink" Target="mailto:sanghyeon@in-soft.co.kr" TargetMode="External"/><Relationship Id="rId160" Type="http://schemas.openxmlformats.org/officeDocument/2006/relationships/hyperlink" Target="mailto:jhjang@in-soft.co.kr" TargetMode="External"/><Relationship Id="rId181" Type="http://schemas.openxmlformats.org/officeDocument/2006/relationships/hyperlink" Target="mailto:hhkang@in-soft.co.kr" TargetMode="External"/><Relationship Id="rId216" Type="http://schemas.openxmlformats.org/officeDocument/2006/relationships/hyperlink" Target="mailto:jsh@in-soft.co.kr" TargetMode="External"/><Relationship Id="rId237" Type="http://schemas.openxmlformats.org/officeDocument/2006/relationships/hyperlink" Target="mailto:kashin@in-soft.co.kr" TargetMode="External"/><Relationship Id="rId22" Type="http://schemas.openxmlformats.org/officeDocument/2006/relationships/hyperlink" Target="mailto:sheo@in-soft.co.kr" TargetMode="External"/><Relationship Id="rId43" Type="http://schemas.openxmlformats.org/officeDocument/2006/relationships/hyperlink" Target="mailto:jypark@in-soft.co.kr" TargetMode="External"/><Relationship Id="rId64" Type="http://schemas.openxmlformats.org/officeDocument/2006/relationships/hyperlink" Target="mailto:djjo@in-soft.co.kr" TargetMode="External"/><Relationship Id="rId118" Type="http://schemas.openxmlformats.org/officeDocument/2006/relationships/hyperlink" Target="mailto:bskim@in-soft.co.kr" TargetMode="External"/><Relationship Id="rId139" Type="http://schemas.openxmlformats.org/officeDocument/2006/relationships/hyperlink" Target="mailto:jykim@in-soft.co.kr" TargetMode="External"/><Relationship Id="rId85" Type="http://schemas.openxmlformats.org/officeDocument/2006/relationships/hyperlink" Target="mailto:hmkang@in-soft.co.kr" TargetMode="External"/><Relationship Id="rId150" Type="http://schemas.openxmlformats.org/officeDocument/2006/relationships/hyperlink" Target="mailto:smhong@in-soft.co.kr" TargetMode="External"/><Relationship Id="rId171" Type="http://schemas.openxmlformats.org/officeDocument/2006/relationships/hyperlink" Target="mailto:cskim@in-soft.co.kr" TargetMode="External"/><Relationship Id="rId192" Type="http://schemas.openxmlformats.org/officeDocument/2006/relationships/hyperlink" Target="mailto:jyjung@in-soft.co.kr" TargetMode="External"/><Relationship Id="rId206" Type="http://schemas.openxmlformats.org/officeDocument/2006/relationships/hyperlink" Target="mailto:hycho@in-soft.co.kr" TargetMode="External"/><Relationship Id="rId227" Type="http://schemas.openxmlformats.org/officeDocument/2006/relationships/hyperlink" Target="mailto:dhwon@in-soft.co.kr" TargetMode="External"/><Relationship Id="rId12" Type="http://schemas.openxmlformats.org/officeDocument/2006/relationships/hyperlink" Target="mailto:jkoh@in-soft.co.kr" TargetMode="External"/><Relationship Id="rId33" Type="http://schemas.openxmlformats.org/officeDocument/2006/relationships/hyperlink" Target="mailto:hejo@in-soft.co.kr" TargetMode="External"/><Relationship Id="rId108" Type="http://schemas.openxmlformats.org/officeDocument/2006/relationships/hyperlink" Target="mailto:wclee@in-soft.co.kr" TargetMode="External"/><Relationship Id="rId129" Type="http://schemas.openxmlformats.org/officeDocument/2006/relationships/hyperlink" Target="mailto:tjkim@in-soft.co.kr" TargetMode="External"/><Relationship Id="rId54" Type="http://schemas.openxmlformats.org/officeDocument/2006/relationships/hyperlink" Target="mailto:suyeon@in-soft.co.kr" TargetMode="External"/><Relationship Id="rId75" Type="http://schemas.openxmlformats.org/officeDocument/2006/relationships/hyperlink" Target="mailto:kskim@in-soft.co.kr" TargetMode="External"/><Relationship Id="rId96" Type="http://schemas.openxmlformats.org/officeDocument/2006/relationships/hyperlink" Target="mailto:slnam@in-soft.co.kr" TargetMode="External"/><Relationship Id="rId140" Type="http://schemas.openxmlformats.org/officeDocument/2006/relationships/hyperlink" Target="mailto:ymyu@in-soft.co.kr" TargetMode="External"/><Relationship Id="rId161" Type="http://schemas.openxmlformats.org/officeDocument/2006/relationships/hyperlink" Target="mailto:espark@in-soft.co.kr" TargetMode="External"/><Relationship Id="rId182" Type="http://schemas.openxmlformats.org/officeDocument/2006/relationships/hyperlink" Target="mailto:skyu@in-soft.co.kr" TargetMode="External"/><Relationship Id="rId217" Type="http://schemas.openxmlformats.org/officeDocument/2006/relationships/hyperlink" Target="mailto:hsyoo@in-soft.co.kr" TargetMode="External"/><Relationship Id="rId6" Type="http://schemas.openxmlformats.org/officeDocument/2006/relationships/hyperlink" Target="mailto:hskang@in-soft.co.kr" TargetMode="External"/><Relationship Id="rId238" Type="http://schemas.openxmlformats.org/officeDocument/2006/relationships/hyperlink" Target="mailto:yyyoon@in-soft.co.kr" TargetMode="External"/><Relationship Id="rId23" Type="http://schemas.openxmlformats.org/officeDocument/2006/relationships/hyperlink" Target="mailto:shkil@in-soft.co.kr" TargetMode="External"/><Relationship Id="rId119" Type="http://schemas.openxmlformats.org/officeDocument/2006/relationships/hyperlink" Target="mailto:jshwang@in-soft.co.kr" TargetMode="External"/><Relationship Id="rId44" Type="http://schemas.openxmlformats.org/officeDocument/2006/relationships/hyperlink" Target="mailto:hmkang@in-soft.co.kr" TargetMode="External"/><Relationship Id="rId65" Type="http://schemas.openxmlformats.org/officeDocument/2006/relationships/hyperlink" Target="mailto:hsjung@in-soft.co.kr" TargetMode="External"/><Relationship Id="rId86" Type="http://schemas.openxmlformats.org/officeDocument/2006/relationships/hyperlink" Target="mailto:hkkwon@in-soft.co.kr" TargetMode="External"/><Relationship Id="rId130" Type="http://schemas.openxmlformats.org/officeDocument/2006/relationships/hyperlink" Target="mailto:moon23@in-soft.co.kr" TargetMode="External"/><Relationship Id="rId151" Type="http://schemas.openxmlformats.org/officeDocument/2006/relationships/hyperlink" Target="mailto:bckim@in-soft.co.kr" TargetMode="External"/><Relationship Id="rId172" Type="http://schemas.openxmlformats.org/officeDocument/2006/relationships/hyperlink" Target="mailto:mspark@in-soft.co.kr" TargetMode="External"/><Relationship Id="rId193" Type="http://schemas.openxmlformats.org/officeDocument/2006/relationships/hyperlink" Target="mailto:nwkim@in-soft.co.kr" TargetMode="External"/><Relationship Id="rId207" Type="http://schemas.openxmlformats.org/officeDocument/2006/relationships/hyperlink" Target="mailto:htha@in-soft.co.kr" TargetMode="External"/><Relationship Id="rId228" Type="http://schemas.openxmlformats.org/officeDocument/2006/relationships/hyperlink" Target="mailto:hykim@in-soft.co.kr" TargetMode="External"/><Relationship Id="rId13" Type="http://schemas.openxmlformats.org/officeDocument/2006/relationships/hyperlink" Target="mailto:hsjang@in-soft.co.kr" TargetMode="External"/><Relationship Id="rId109" Type="http://schemas.openxmlformats.org/officeDocument/2006/relationships/hyperlink" Target="mailto:selee@in-soft.co.kr" TargetMode="External"/><Relationship Id="rId34" Type="http://schemas.openxmlformats.org/officeDocument/2006/relationships/hyperlink" Target="mailto:hglee@in-soft.co.kr" TargetMode="External"/><Relationship Id="rId55" Type="http://schemas.openxmlformats.org/officeDocument/2006/relationships/hyperlink" Target="mailto:yhkim@in-soft.co.kr" TargetMode="External"/><Relationship Id="rId76" Type="http://schemas.openxmlformats.org/officeDocument/2006/relationships/hyperlink" Target="mailto:mschoi@in-soft.co.kr" TargetMode="External"/><Relationship Id="rId97" Type="http://schemas.openxmlformats.org/officeDocument/2006/relationships/hyperlink" Target="mailto:syoh@in-soft.co.kr" TargetMode="External"/><Relationship Id="rId120" Type="http://schemas.openxmlformats.org/officeDocument/2006/relationships/hyperlink" Target="mailto:tommykim@in-soft.co.kr" TargetMode="External"/><Relationship Id="rId141" Type="http://schemas.openxmlformats.org/officeDocument/2006/relationships/hyperlink" Target="mailto:jgkim@in-soft.co.kr" TargetMode="External"/><Relationship Id="rId7" Type="http://schemas.openxmlformats.org/officeDocument/2006/relationships/hyperlink" Target="mailto:scpark@in-soft.co.kr" TargetMode="External"/><Relationship Id="rId162" Type="http://schemas.openxmlformats.org/officeDocument/2006/relationships/hyperlink" Target="mailto:yskwak@in-soft.co.kr" TargetMode="External"/><Relationship Id="rId183" Type="http://schemas.openxmlformats.org/officeDocument/2006/relationships/hyperlink" Target="mailto:jilee@in-soft.co.kr" TargetMode="External"/><Relationship Id="rId218" Type="http://schemas.openxmlformats.org/officeDocument/2006/relationships/hyperlink" Target="mailto:jwhyun@in-soft.co.kr" TargetMode="External"/><Relationship Id="rId239" Type="http://schemas.openxmlformats.org/officeDocument/2006/relationships/hyperlink" Target="mailto:hthan@in-soft.co.kr" TargetMode="External"/><Relationship Id="rId24" Type="http://schemas.openxmlformats.org/officeDocument/2006/relationships/hyperlink" Target="mailto:yschoi@in-soft.co.kr" TargetMode="External"/><Relationship Id="rId45" Type="http://schemas.openxmlformats.org/officeDocument/2006/relationships/hyperlink" Target="mailto:djkim@in-soft.co.kr" TargetMode="External"/><Relationship Id="rId66" Type="http://schemas.openxmlformats.org/officeDocument/2006/relationships/hyperlink" Target="mailto:jhna@in-soft.co.kr" TargetMode="External"/><Relationship Id="rId87" Type="http://schemas.openxmlformats.org/officeDocument/2006/relationships/hyperlink" Target="mailto:cwlee@in-soft.co.kr" TargetMode="External"/><Relationship Id="rId110" Type="http://schemas.openxmlformats.org/officeDocument/2006/relationships/hyperlink" Target="mailto:shpark@in-soft.co.kr" TargetMode="External"/><Relationship Id="rId131" Type="http://schemas.openxmlformats.org/officeDocument/2006/relationships/hyperlink" Target="mailto:jwchoi@in-soft.co.kr" TargetMode="External"/><Relationship Id="rId152" Type="http://schemas.openxmlformats.org/officeDocument/2006/relationships/hyperlink" Target="mailto:swsong@in-soft.co.kr" TargetMode="External"/><Relationship Id="rId173" Type="http://schemas.openxmlformats.org/officeDocument/2006/relationships/hyperlink" Target="mailto:shpark@in-soft.co.kr" TargetMode="External"/><Relationship Id="rId194" Type="http://schemas.openxmlformats.org/officeDocument/2006/relationships/hyperlink" Target="mailto:dsjeong@in-soft.co.kr" TargetMode="External"/><Relationship Id="rId208" Type="http://schemas.openxmlformats.org/officeDocument/2006/relationships/hyperlink" Target="mailto:sjbyun@in-soft.co.kr" TargetMode="External"/><Relationship Id="rId229" Type="http://schemas.openxmlformats.org/officeDocument/2006/relationships/hyperlink" Target="mailto:shna@in-soft.co.kr" TargetMode="External"/><Relationship Id="rId240" Type="http://schemas.openxmlformats.org/officeDocument/2006/relationships/hyperlink" Target="mailto:sjchoi@in-soft.co.kr" TargetMode="External"/><Relationship Id="rId14" Type="http://schemas.openxmlformats.org/officeDocument/2006/relationships/hyperlink" Target="mailto:smko@in-soft.co.kr" TargetMode="External"/><Relationship Id="rId35" Type="http://schemas.openxmlformats.org/officeDocument/2006/relationships/hyperlink" Target="mailto:ksmoon@in-soft.co.kr" TargetMode="External"/><Relationship Id="rId56" Type="http://schemas.openxmlformats.org/officeDocument/2006/relationships/hyperlink" Target="mailto:phsong@in-soft.co.kr" TargetMode="External"/><Relationship Id="rId77" Type="http://schemas.openxmlformats.org/officeDocument/2006/relationships/hyperlink" Target="mailto:swlee@in-soft.co.kr" TargetMode="External"/><Relationship Id="rId100" Type="http://schemas.openxmlformats.org/officeDocument/2006/relationships/hyperlink" Target="mailto:dylee@in-soft.co.kr" TargetMode="External"/><Relationship Id="rId8" Type="http://schemas.openxmlformats.org/officeDocument/2006/relationships/hyperlink" Target="mailto:hylee@in-soft.co.kr" TargetMode="External"/><Relationship Id="rId98" Type="http://schemas.openxmlformats.org/officeDocument/2006/relationships/hyperlink" Target="mailto:wsryu@in-soft.co.kr" TargetMode="External"/><Relationship Id="rId121" Type="http://schemas.openxmlformats.org/officeDocument/2006/relationships/hyperlink" Target="mailto:uikim@in-soft.co.kr" TargetMode="External"/><Relationship Id="rId142" Type="http://schemas.openxmlformats.org/officeDocument/2006/relationships/hyperlink" Target="mailto:jyyoon@in-soft.co.kr" TargetMode="External"/><Relationship Id="rId163" Type="http://schemas.openxmlformats.org/officeDocument/2006/relationships/hyperlink" Target="mailto:dghan@in-soft.co.kr" TargetMode="External"/><Relationship Id="rId184" Type="http://schemas.openxmlformats.org/officeDocument/2006/relationships/hyperlink" Target="mailto:swhan@in-soft.co.kr" TargetMode="External"/><Relationship Id="rId219" Type="http://schemas.openxmlformats.org/officeDocument/2006/relationships/hyperlink" Target="mailto:ykoh@in-soft.co.kr" TargetMode="External"/><Relationship Id="rId230" Type="http://schemas.openxmlformats.org/officeDocument/2006/relationships/hyperlink" Target="mailto:jyang@in-soft.co.kr" TargetMode="External"/><Relationship Id="rId25" Type="http://schemas.openxmlformats.org/officeDocument/2006/relationships/hyperlink" Target="mailto:swi@in-soft.co.kr" TargetMode="External"/><Relationship Id="rId46" Type="http://schemas.openxmlformats.org/officeDocument/2006/relationships/hyperlink" Target="mailto:khahn1105@in-soft.co.kr" TargetMode="External"/><Relationship Id="rId67" Type="http://schemas.openxmlformats.org/officeDocument/2006/relationships/hyperlink" Target="mailto:hjyou@in-soft.co.kr" TargetMode="External"/><Relationship Id="rId88" Type="http://schemas.openxmlformats.org/officeDocument/2006/relationships/hyperlink" Target="mailto:ehjang@in-soft.co.kr" TargetMode="External"/><Relationship Id="rId111" Type="http://schemas.openxmlformats.org/officeDocument/2006/relationships/hyperlink" Target="mailto:ysshin@in-soft.co.kr" TargetMode="External"/><Relationship Id="rId132" Type="http://schemas.openxmlformats.org/officeDocument/2006/relationships/hyperlink" Target="mailto:syyoo@in-soft.co.kr" TargetMode="External"/><Relationship Id="rId153" Type="http://schemas.openxmlformats.org/officeDocument/2006/relationships/hyperlink" Target="mailto:jekim@in-soft.co.kr" TargetMode="External"/><Relationship Id="rId174" Type="http://schemas.openxmlformats.org/officeDocument/2006/relationships/hyperlink" Target="mailto:yskim@in-soft.co.kr" TargetMode="External"/><Relationship Id="rId195" Type="http://schemas.openxmlformats.org/officeDocument/2006/relationships/hyperlink" Target="mailto:jwkim@in-soft.co.kr" TargetMode="External"/><Relationship Id="rId209" Type="http://schemas.openxmlformats.org/officeDocument/2006/relationships/hyperlink" Target="mailto:jijung@in-soft.co.kr" TargetMode="External"/><Relationship Id="rId220" Type="http://schemas.openxmlformats.org/officeDocument/2006/relationships/hyperlink" Target="mailto:hwjung@in-soft.co.kr" TargetMode="External"/><Relationship Id="rId241" Type="http://schemas.openxmlformats.org/officeDocument/2006/relationships/hyperlink" Target="mailto:hrjin@in-soft.co.kr" TargetMode="External"/><Relationship Id="rId15" Type="http://schemas.openxmlformats.org/officeDocument/2006/relationships/hyperlink" Target="mailto:hsham@in-soft.co.kr" TargetMode="External"/><Relationship Id="rId36" Type="http://schemas.openxmlformats.org/officeDocument/2006/relationships/hyperlink" Target="mailto:jsmoon@in-soft.co.kr" TargetMode="External"/><Relationship Id="rId57" Type="http://schemas.openxmlformats.org/officeDocument/2006/relationships/hyperlink" Target="mailto:issong@in-soft.co.kr" TargetMode="External"/><Relationship Id="rId106" Type="http://schemas.openxmlformats.org/officeDocument/2006/relationships/hyperlink" Target="mailto:ywkim@in-soft.co.kr" TargetMode="External"/><Relationship Id="rId127" Type="http://schemas.openxmlformats.org/officeDocument/2006/relationships/hyperlink" Target="mailto:shok@in-soft.co.kr" TargetMode="External"/><Relationship Id="rId10" Type="http://schemas.openxmlformats.org/officeDocument/2006/relationships/hyperlink" Target="mailto:yhkim@in-soft.co.kr" TargetMode="External"/><Relationship Id="rId31" Type="http://schemas.openxmlformats.org/officeDocument/2006/relationships/hyperlink" Target="mailto:momo3kim@in-soft.co.kr" TargetMode="External"/><Relationship Id="rId52" Type="http://schemas.openxmlformats.org/officeDocument/2006/relationships/hyperlink" Target="mailto:jdkim@in-soft.co.kr" TargetMode="External"/><Relationship Id="rId73" Type="http://schemas.openxmlformats.org/officeDocument/2006/relationships/hyperlink" Target="mailto:ysbae@in-soft.co.kr" TargetMode="External"/><Relationship Id="rId78" Type="http://schemas.openxmlformats.org/officeDocument/2006/relationships/hyperlink" Target="mailto:nmpark@in-soft.co.kr" TargetMode="External"/><Relationship Id="rId94" Type="http://schemas.openxmlformats.org/officeDocument/2006/relationships/hyperlink" Target="mailto:sjban@in-soft.co.kr" TargetMode="External"/><Relationship Id="rId99" Type="http://schemas.openxmlformats.org/officeDocument/2006/relationships/hyperlink" Target="mailto:swkim@in-soft.co.kr" TargetMode="External"/><Relationship Id="rId101" Type="http://schemas.openxmlformats.org/officeDocument/2006/relationships/hyperlink" Target="mailto:yshwang@in-soft.co.kr" TargetMode="External"/><Relationship Id="rId122" Type="http://schemas.openxmlformats.org/officeDocument/2006/relationships/hyperlink" Target="mailto:jskang@in-soft.co.kr" TargetMode="External"/><Relationship Id="rId143" Type="http://schemas.openxmlformats.org/officeDocument/2006/relationships/hyperlink" Target="mailto:eryoon@in-soft.co.kr" TargetMode="External"/><Relationship Id="rId148" Type="http://schemas.openxmlformats.org/officeDocument/2006/relationships/hyperlink" Target="mailto:byungkwan@in-soft.co.kr" TargetMode="External"/><Relationship Id="rId164" Type="http://schemas.openxmlformats.org/officeDocument/2006/relationships/hyperlink" Target="mailto:ywchon@in-soft.co.kr" TargetMode="External"/><Relationship Id="rId169" Type="http://schemas.openxmlformats.org/officeDocument/2006/relationships/hyperlink" Target="mailto:sclee@in-soft.co.kr" TargetMode="External"/><Relationship Id="rId185" Type="http://schemas.openxmlformats.org/officeDocument/2006/relationships/hyperlink" Target="mailto:jungwon@in-soft.co.kr" TargetMode="External"/><Relationship Id="rId4" Type="http://schemas.openxmlformats.org/officeDocument/2006/relationships/hyperlink" Target="mailto:mhkang@in-soft.co.kr" TargetMode="External"/><Relationship Id="rId9" Type="http://schemas.openxmlformats.org/officeDocument/2006/relationships/hyperlink" Target="mailto:sanghyunlee@in-soft.co.kr" TargetMode="External"/><Relationship Id="rId180" Type="http://schemas.openxmlformats.org/officeDocument/2006/relationships/hyperlink" Target="mailto:jshong@in-soft.co.kr" TargetMode="External"/><Relationship Id="rId210" Type="http://schemas.openxmlformats.org/officeDocument/2006/relationships/hyperlink" Target="mailto:mhlee@in-soft.co.kr" TargetMode="External"/><Relationship Id="rId215" Type="http://schemas.openxmlformats.org/officeDocument/2006/relationships/hyperlink" Target="mailto:swhong@in-soft.co.kr" TargetMode="External"/><Relationship Id="rId236" Type="http://schemas.openxmlformats.org/officeDocument/2006/relationships/hyperlink" Target="mailto:hjkwak@in-soft.co.kr" TargetMode="External"/><Relationship Id="rId26" Type="http://schemas.openxmlformats.org/officeDocument/2006/relationships/hyperlink" Target="mailto:shsong@in-soft.co.kr" TargetMode="External"/><Relationship Id="rId231" Type="http://schemas.openxmlformats.org/officeDocument/2006/relationships/hyperlink" Target="mailto:ddchoi@in-soft.co.kr" TargetMode="External"/><Relationship Id="rId47" Type="http://schemas.openxmlformats.org/officeDocument/2006/relationships/hyperlink" Target="mailto:ksshin@in-soft.co.kr" TargetMode="External"/><Relationship Id="rId68" Type="http://schemas.openxmlformats.org/officeDocument/2006/relationships/hyperlink" Target="mailto:kschae@in-soft.co.kr" TargetMode="External"/><Relationship Id="rId89" Type="http://schemas.openxmlformats.org/officeDocument/2006/relationships/hyperlink" Target="mailto:gachoi@in-soft.co.kr" TargetMode="External"/><Relationship Id="rId112" Type="http://schemas.openxmlformats.org/officeDocument/2006/relationships/hyperlink" Target="mailto:jtpark@in-soft.co.kr" TargetMode="External"/><Relationship Id="rId133" Type="http://schemas.openxmlformats.org/officeDocument/2006/relationships/hyperlink" Target="mailto:yslee@in-soft.co.kr" TargetMode="External"/><Relationship Id="rId154" Type="http://schemas.openxmlformats.org/officeDocument/2006/relationships/hyperlink" Target="mailto:dgkim@in-soft.co.kr" TargetMode="External"/><Relationship Id="rId175" Type="http://schemas.openxmlformats.org/officeDocument/2006/relationships/hyperlink" Target="mailto:syjung@in-soft.co.kr" TargetMode="External"/><Relationship Id="rId196" Type="http://schemas.openxmlformats.org/officeDocument/2006/relationships/hyperlink" Target="mailto:hclee@in-soft.co.kr" TargetMode="External"/><Relationship Id="rId200" Type="http://schemas.openxmlformats.org/officeDocument/2006/relationships/hyperlink" Target="mailto:srlee@in-soft.co.kr" TargetMode="External"/><Relationship Id="rId16" Type="http://schemas.openxmlformats.org/officeDocument/2006/relationships/hyperlink" Target="mailto:paul@in-soft.co.kr" TargetMode="External"/><Relationship Id="rId221" Type="http://schemas.openxmlformats.org/officeDocument/2006/relationships/hyperlink" Target="mailto:tigwon@in-soft.co.kr" TargetMode="External"/><Relationship Id="rId37" Type="http://schemas.openxmlformats.org/officeDocument/2006/relationships/hyperlink" Target="mailto:kuhong@in-soft.co.kr" TargetMode="External"/><Relationship Id="rId58" Type="http://schemas.openxmlformats.org/officeDocument/2006/relationships/hyperlink" Target="mailto:ihkim@in-soft.co.kr" TargetMode="External"/><Relationship Id="rId79" Type="http://schemas.openxmlformats.org/officeDocument/2006/relationships/hyperlink" Target="mailto:bjkim@in-soft.co.kr" TargetMode="External"/><Relationship Id="rId102" Type="http://schemas.openxmlformats.org/officeDocument/2006/relationships/hyperlink" Target="mailto:mihwang@in-soft.co.kr" TargetMode="External"/><Relationship Id="rId123" Type="http://schemas.openxmlformats.org/officeDocument/2006/relationships/hyperlink" Target="mailto:yhkim@in-soft.co.kr" TargetMode="External"/><Relationship Id="rId144" Type="http://schemas.openxmlformats.org/officeDocument/2006/relationships/hyperlink" Target="mailto:kyungho@in-soft.co.kr" TargetMode="External"/><Relationship Id="rId90" Type="http://schemas.openxmlformats.org/officeDocument/2006/relationships/hyperlink" Target="mailto:yjlee@in-soft.co.kr" TargetMode="External"/><Relationship Id="rId165" Type="http://schemas.openxmlformats.org/officeDocument/2006/relationships/hyperlink" Target="mailto:jylim@in-soft.co.kr" TargetMode="External"/><Relationship Id="rId186" Type="http://schemas.openxmlformats.org/officeDocument/2006/relationships/hyperlink" Target="mailto:jyhan@in-soft.co.kr" TargetMode="External"/><Relationship Id="rId211" Type="http://schemas.openxmlformats.org/officeDocument/2006/relationships/hyperlink" Target="mailto:cg.choi@in-soft.co.kr" TargetMode="External"/><Relationship Id="rId232" Type="http://schemas.openxmlformats.org/officeDocument/2006/relationships/hyperlink" Target="mailto:jikim@in-soft.co.kr" TargetMode="External"/><Relationship Id="rId27" Type="http://schemas.openxmlformats.org/officeDocument/2006/relationships/hyperlink" Target="mailto:tsjung@in-soft.co.kr" TargetMode="External"/><Relationship Id="rId48" Type="http://schemas.openxmlformats.org/officeDocument/2006/relationships/hyperlink" Target="mailto:tjmoon@in-soft.co.kr" TargetMode="External"/><Relationship Id="rId69" Type="http://schemas.openxmlformats.org/officeDocument/2006/relationships/hyperlink" Target="mailto:sychoi@in-soft.co.kr" TargetMode="External"/><Relationship Id="rId113" Type="http://schemas.openxmlformats.org/officeDocument/2006/relationships/hyperlink" Target="mailto:angi0703@in-soft.co.kr" TargetMode="External"/><Relationship Id="rId134" Type="http://schemas.openxmlformats.org/officeDocument/2006/relationships/hyperlink" Target="mailto:jwshin@in-soft.co.kr" TargetMode="External"/><Relationship Id="rId80" Type="http://schemas.openxmlformats.org/officeDocument/2006/relationships/hyperlink" Target="mailto:skpark@in-soft.co.kr" TargetMode="External"/><Relationship Id="rId155" Type="http://schemas.openxmlformats.org/officeDocument/2006/relationships/hyperlink" Target="mailto:jwkim@in-soft.co.kr" TargetMode="External"/><Relationship Id="rId176" Type="http://schemas.openxmlformats.org/officeDocument/2006/relationships/hyperlink" Target="mailto:hjkim@in-soft.co.kr" TargetMode="External"/><Relationship Id="rId197" Type="http://schemas.openxmlformats.org/officeDocument/2006/relationships/hyperlink" Target="mailto:kmko@in-soft.co.kr" TargetMode="External"/><Relationship Id="rId201" Type="http://schemas.openxmlformats.org/officeDocument/2006/relationships/hyperlink" Target="mailto:kcjung@in-soft.co.kr" TargetMode="External"/><Relationship Id="rId222" Type="http://schemas.openxmlformats.org/officeDocument/2006/relationships/hyperlink" Target="mailto:jspark@in-soft.co.kr" TargetMode="External"/><Relationship Id="rId17" Type="http://schemas.openxmlformats.org/officeDocument/2006/relationships/hyperlink" Target="mailto:jyryu@in-soft.co.kr" TargetMode="External"/><Relationship Id="rId38" Type="http://schemas.openxmlformats.org/officeDocument/2006/relationships/hyperlink" Target="mailto:sylee@in-soft.co.kr" TargetMode="External"/><Relationship Id="rId59" Type="http://schemas.openxmlformats.org/officeDocument/2006/relationships/hyperlink" Target="mailto:jcpark@in-soft.co.kr" TargetMode="External"/><Relationship Id="rId103" Type="http://schemas.openxmlformats.org/officeDocument/2006/relationships/hyperlink" Target="mailto:kclee@in-soft.co.kr" TargetMode="External"/><Relationship Id="rId124" Type="http://schemas.openxmlformats.org/officeDocument/2006/relationships/hyperlink" Target="mailto:jhchoi@in-soft.co.kr" TargetMode="External"/><Relationship Id="rId70" Type="http://schemas.openxmlformats.org/officeDocument/2006/relationships/hyperlink" Target="mailto:yschang@in-soft.co.kr" TargetMode="External"/><Relationship Id="rId91" Type="http://schemas.openxmlformats.org/officeDocument/2006/relationships/hyperlink" Target="mailto:jpkeum@in-soft.co.kr" TargetMode="External"/><Relationship Id="rId145" Type="http://schemas.openxmlformats.org/officeDocument/2006/relationships/hyperlink" Target="mailto:crsohn@in-soft.co.kr" TargetMode="External"/><Relationship Id="rId166" Type="http://schemas.openxmlformats.org/officeDocument/2006/relationships/hyperlink" Target="mailto:dhkim@in-soft.co.kr" TargetMode="External"/><Relationship Id="rId187" Type="http://schemas.openxmlformats.org/officeDocument/2006/relationships/hyperlink" Target="mailto:brlee@in-soft.co.kr" TargetMode="External"/><Relationship Id="rId1" Type="http://schemas.openxmlformats.org/officeDocument/2006/relationships/hyperlink" Target="mailto:mhlee@in-soft.co.kr" TargetMode="External"/><Relationship Id="rId212" Type="http://schemas.openxmlformats.org/officeDocument/2006/relationships/hyperlink" Target="mailto:etjung@in-soft.co.kr" TargetMode="External"/><Relationship Id="rId233" Type="http://schemas.openxmlformats.org/officeDocument/2006/relationships/hyperlink" Target="mailto:smlee@in-soft.co.kr" TargetMode="External"/><Relationship Id="rId28" Type="http://schemas.openxmlformats.org/officeDocument/2006/relationships/hyperlink" Target="mailto:yhlee@in-soft.co.kr" TargetMode="External"/><Relationship Id="rId49" Type="http://schemas.openxmlformats.org/officeDocument/2006/relationships/hyperlink" Target="mailto:jwjung@in-soft.co.kr" TargetMode="External"/><Relationship Id="rId114" Type="http://schemas.openxmlformats.org/officeDocument/2006/relationships/hyperlink" Target="mailto:hmpark@in-soft.co.kr" TargetMode="External"/><Relationship Id="rId60" Type="http://schemas.openxmlformats.org/officeDocument/2006/relationships/hyperlink" Target="mailto:jhbyun@in-soft.co.kr" TargetMode="External"/><Relationship Id="rId81" Type="http://schemas.openxmlformats.org/officeDocument/2006/relationships/hyperlink" Target="mailto:dhim@in-soft.co.kr" TargetMode="External"/><Relationship Id="rId135" Type="http://schemas.openxmlformats.org/officeDocument/2006/relationships/hyperlink" Target="mailto:jijung@in-soft.co.kr" TargetMode="External"/><Relationship Id="rId156" Type="http://schemas.openxmlformats.org/officeDocument/2006/relationships/hyperlink" Target="mailto:uhkim@in-soft.co.kr" TargetMode="External"/><Relationship Id="rId177" Type="http://schemas.openxmlformats.org/officeDocument/2006/relationships/hyperlink" Target="mailto:isjung@in-soft.co.kr" TargetMode="External"/><Relationship Id="rId198" Type="http://schemas.openxmlformats.org/officeDocument/2006/relationships/hyperlink" Target="mailto:eykim@in-soft.co.kr" TargetMode="External"/><Relationship Id="rId202" Type="http://schemas.openxmlformats.org/officeDocument/2006/relationships/hyperlink" Target="mailto:syson@in-soft.co.kr" TargetMode="External"/><Relationship Id="rId223" Type="http://schemas.openxmlformats.org/officeDocument/2006/relationships/hyperlink" Target="mailto:yeonho@in-soft.co.kr" TargetMode="External"/><Relationship Id="rId18" Type="http://schemas.openxmlformats.org/officeDocument/2006/relationships/hyperlink" Target="mailto:bbytkim@in-soft.co.kr" TargetMode="External"/><Relationship Id="rId39" Type="http://schemas.openxmlformats.org/officeDocument/2006/relationships/hyperlink" Target="mailto:nuahn@in-soft.co.kr" TargetMode="External"/><Relationship Id="rId50" Type="http://schemas.openxmlformats.org/officeDocument/2006/relationships/hyperlink" Target="mailto:sykang@in-soft.co.kr" TargetMode="External"/><Relationship Id="rId104" Type="http://schemas.openxmlformats.org/officeDocument/2006/relationships/hyperlink" Target="mailto:hkbyun@in-soft.co.kr" TargetMode="External"/><Relationship Id="rId125" Type="http://schemas.openxmlformats.org/officeDocument/2006/relationships/hyperlink" Target="mailto:djjung@in-soft.co.kr" TargetMode="External"/><Relationship Id="rId146" Type="http://schemas.openxmlformats.org/officeDocument/2006/relationships/hyperlink" Target="mailto:smchun@in-soft.co.kr" TargetMode="External"/><Relationship Id="rId167" Type="http://schemas.openxmlformats.org/officeDocument/2006/relationships/hyperlink" Target="mailto:mkhan@in-soft.co.kr" TargetMode="External"/><Relationship Id="rId188" Type="http://schemas.openxmlformats.org/officeDocument/2006/relationships/hyperlink" Target="mailto:hgjo@in-soft.co.kr" TargetMode="External"/><Relationship Id="rId71" Type="http://schemas.openxmlformats.org/officeDocument/2006/relationships/hyperlink" Target="mailto:smpark@in-soft.co.kr" TargetMode="External"/><Relationship Id="rId92" Type="http://schemas.openxmlformats.org/officeDocument/2006/relationships/hyperlink" Target="mailto:sjmoon@in-soft.co.kr" TargetMode="External"/><Relationship Id="rId213" Type="http://schemas.openxmlformats.org/officeDocument/2006/relationships/hyperlink" Target="mailto:yppark@in-soft.co.kr" TargetMode="External"/><Relationship Id="rId234" Type="http://schemas.openxmlformats.org/officeDocument/2006/relationships/hyperlink" Target="mailto:bjmoon@in-soft.co.kr" TargetMode="External"/><Relationship Id="rId2" Type="http://schemas.openxmlformats.org/officeDocument/2006/relationships/hyperlink" Target="mailto:jwpark@in-soft.co.kr" TargetMode="External"/><Relationship Id="rId29" Type="http://schemas.openxmlformats.org/officeDocument/2006/relationships/hyperlink" Target="mailto:hslee@in-soft.co.kr" TargetMode="External"/><Relationship Id="rId40" Type="http://schemas.openxmlformats.org/officeDocument/2006/relationships/hyperlink" Target="mailto:bslee@in-soft.co.kr" TargetMode="External"/><Relationship Id="rId115" Type="http://schemas.openxmlformats.org/officeDocument/2006/relationships/hyperlink" Target="mailto:ikpark@in-soft.co.kr" TargetMode="External"/><Relationship Id="rId136" Type="http://schemas.openxmlformats.org/officeDocument/2006/relationships/hyperlink" Target="mailto:yjkim@in-soft.co.kr" TargetMode="External"/><Relationship Id="rId157" Type="http://schemas.openxmlformats.org/officeDocument/2006/relationships/hyperlink" Target="mailto:joshim@in-soft.co.kr" TargetMode="External"/><Relationship Id="rId178" Type="http://schemas.openxmlformats.org/officeDocument/2006/relationships/hyperlink" Target="mailto:gustyjin@in-soft.co.kr" TargetMode="External"/><Relationship Id="rId61" Type="http://schemas.openxmlformats.org/officeDocument/2006/relationships/hyperlink" Target="mailto:hwmoon@in-soft.co.kr" TargetMode="External"/><Relationship Id="rId82" Type="http://schemas.openxmlformats.org/officeDocument/2006/relationships/hyperlink" Target="mailto:hwcho@in-soft.co.kr" TargetMode="External"/><Relationship Id="rId199" Type="http://schemas.openxmlformats.org/officeDocument/2006/relationships/hyperlink" Target="mailto:ljh@in-soft.co.kr" TargetMode="External"/><Relationship Id="rId203" Type="http://schemas.openxmlformats.org/officeDocument/2006/relationships/hyperlink" Target="mailto:sylee@in-soft.co.kr" TargetMode="External"/><Relationship Id="rId19" Type="http://schemas.openxmlformats.org/officeDocument/2006/relationships/hyperlink" Target="mailto:hasjung@in-soft.co.kr" TargetMode="External"/><Relationship Id="rId224" Type="http://schemas.openxmlformats.org/officeDocument/2006/relationships/hyperlink" Target="mailto:sjkim@in-soft.co.kr" TargetMode="External"/><Relationship Id="rId30" Type="http://schemas.openxmlformats.org/officeDocument/2006/relationships/hyperlink" Target="mailto:jhlee@in-soft.co.kr" TargetMode="External"/><Relationship Id="rId105" Type="http://schemas.openxmlformats.org/officeDocument/2006/relationships/hyperlink" Target="mailto:junhyun@in-soft.co.kr" TargetMode="External"/><Relationship Id="rId126" Type="http://schemas.openxmlformats.org/officeDocument/2006/relationships/hyperlink" Target="mailto:smsong@in-soft.co.kr" TargetMode="External"/><Relationship Id="rId147" Type="http://schemas.openxmlformats.org/officeDocument/2006/relationships/hyperlink" Target="mailto:ejcheon@in-soft.co.kr" TargetMode="External"/><Relationship Id="rId168" Type="http://schemas.openxmlformats.org/officeDocument/2006/relationships/hyperlink" Target="mailto:nhkim@in-soft.co.kr" TargetMode="External"/><Relationship Id="rId51" Type="http://schemas.openxmlformats.org/officeDocument/2006/relationships/hyperlink" Target="mailto:yjhwang@in-soft.co.kr" TargetMode="External"/><Relationship Id="rId72" Type="http://schemas.openxmlformats.org/officeDocument/2006/relationships/hyperlink" Target="mailto:hrkwon@in-soft.co.kr" TargetMode="External"/><Relationship Id="rId93" Type="http://schemas.openxmlformats.org/officeDocument/2006/relationships/hyperlink" Target="mailto:schoi@in-soft.co.kr" TargetMode="External"/><Relationship Id="rId189" Type="http://schemas.openxmlformats.org/officeDocument/2006/relationships/hyperlink" Target="mailto:swpark@in-soft.co.kr" TargetMode="External"/><Relationship Id="rId3" Type="http://schemas.openxmlformats.org/officeDocument/2006/relationships/hyperlink" Target="mailto:jhju@in-soft.co.kr" TargetMode="External"/><Relationship Id="rId214" Type="http://schemas.openxmlformats.org/officeDocument/2006/relationships/hyperlink" Target="mailto:chyang@in-soft.co.kr" TargetMode="External"/><Relationship Id="rId235" Type="http://schemas.openxmlformats.org/officeDocument/2006/relationships/hyperlink" Target="mailto:bhhan@in-soft.co.kr" TargetMode="External"/><Relationship Id="rId116" Type="http://schemas.openxmlformats.org/officeDocument/2006/relationships/hyperlink" Target="mailto:uikim@in-soft.co.kr" TargetMode="External"/><Relationship Id="rId137" Type="http://schemas.openxmlformats.org/officeDocument/2006/relationships/hyperlink" Target="mailto:ythan@in-soft.co.kr" TargetMode="External"/><Relationship Id="rId158" Type="http://schemas.openxmlformats.org/officeDocument/2006/relationships/hyperlink" Target="mailto:kda@in-soft.co.kr" TargetMode="External"/><Relationship Id="rId20" Type="http://schemas.openxmlformats.org/officeDocument/2006/relationships/hyperlink" Target="mailto:djkim@in-soft.co.kr" TargetMode="External"/><Relationship Id="rId41" Type="http://schemas.openxmlformats.org/officeDocument/2006/relationships/hyperlink" Target="mailto:eyesmans@in-soft.co.kr" TargetMode="External"/><Relationship Id="rId62" Type="http://schemas.openxmlformats.org/officeDocument/2006/relationships/hyperlink" Target="mailto:djshim@in-soft.co.kr" TargetMode="External"/><Relationship Id="rId83" Type="http://schemas.openxmlformats.org/officeDocument/2006/relationships/hyperlink" Target="mailto:kslim@in-soft.co.kr" TargetMode="External"/><Relationship Id="rId179" Type="http://schemas.openxmlformats.org/officeDocument/2006/relationships/hyperlink" Target="mailto:ywkim@in-soft.co.kr" TargetMode="External"/><Relationship Id="rId190" Type="http://schemas.openxmlformats.org/officeDocument/2006/relationships/hyperlink" Target="mailto:wildfire1974@in-soft.co.kr" TargetMode="External"/><Relationship Id="rId204" Type="http://schemas.openxmlformats.org/officeDocument/2006/relationships/hyperlink" Target="mailto:jsahn@in-soft.co.kr" TargetMode="External"/><Relationship Id="rId225" Type="http://schemas.openxmlformats.org/officeDocument/2006/relationships/hyperlink" Target="mailto:dhlee@in-soft.co.kr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wsjang@in-soft.co.kr" TargetMode="External"/><Relationship Id="rId21" Type="http://schemas.openxmlformats.org/officeDocument/2006/relationships/hyperlink" Target="mailto:mihwang@in-soft.co.kr" TargetMode="External"/><Relationship Id="rId42" Type="http://schemas.openxmlformats.org/officeDocument/2006/relationships/hyperlink" Target="mailto:jyahn@in-soft.co.kr" TargetMode="External"/><Relationship Id="rId47" Type="http://schemas.openxmlformats.org/officeDocument/2006/relationships/hyperlink" Target="mailto:dykim@in-soft.co.kr" TargetMode="External"/><Relationship Id="rId63" Type="http://schemas.openxmlformats.org/officeDocument/2006/relationships/hyperlink" Target="mailto:sujin@in-soft.co.kr" TargetMode="External"/><Relationship Id="rId68" Type="http://schemas.openxmlformats.org/officeDocument/2006/relationships/hyperlink" Target="mailto:skoh@in-soft.co.kr" TargetMode="External"/><Relationship Id="rId7" Type="http://schemas.openxmlformats.org/officeDocument/2006/relationships/hyperlink" Target="mailto:jmpark@in-soft.co.kr" TargetMode="External"/><Relationship Id="rId71" Type="http://schemas.openxmlformats.org/officeDocument/2006/relationships/hyperlink" Target="mailto:ihhwang@in-soft.co.kr" TargetMode="External"/><Relationship Id="rId2" Type="http://schemas.openxmlformats.org/officeDocument/2006/relationships/hyperlink" Target="mailto:smkim@in-soft.co.kr" TargetMode="External"/><Relationship Id="rId16" Type="http://schemas.openxmlformats.org/officeDocument/2006/relationships/hyperlink" Target="mailto:smshin@in-soft.co.kr" TargetMode="External"/><Relationship Id="rId29" Type="http://schemas.openxmlformats.org/officeDocument/2006/relationships/hyperlink" Target="mailto:twlee@in-soft.co.kr" TargetMode="External"/><Relationship Id="rId11" Type="http://schemas.openxmlformats.org/officeDocument/2006/relationships/hyperlink" Target="mailto:shchoi@in-soft.co.kr" TargetMode="External"/><Relationship Id="rId24" Type="http://schemas.openxmlformats.org/officeDocument/2006/relationships/hyperlink" Target="mailto:bgbong@in-soft.co.kr" TargetMode="External"/><Relationship Id="rId32" Type="http://schemas.openxmlformats.org/officeDocument/2006/relationships/hyperlink" Target="mailto:mwkang@in-soft.co.kr" TargetMode="External"/><Relationship Id="rId37" Type="http://schemas.openxmlformats.org/officeDocument/2006/relationships/hyperlink" Target="mailto:dygo@in-soft.co.kr" TargetMode="External"/><Relationship Id="rId40" Type="http://schemas.openxmlformats.org/officeDocument/2006/relationships/hyperlink" Target="mailto:hjmoon@in-soft.co.kr" TargetMode="External"/><Relationship Id="rId45" Type="http://schemas.openxmlformats.org/officeDocument/2006/relationships/hyperlink" Target="mailto:yaoh@in-soft.co.kr" TargetMode="External"/><Relationship Id="rId53" Type="http://schemas.openxmlformats.org/officeDocument/2006/relationships/hyperlink" Target="mailto:jsyoon@in-soft.co.kr" TargetMode="External"/><Relationship Id="rId58" Type="http://schemas.openxmlformats.org/officeDocument/2006/relationships/hyperlink" Target="mailto:gslee@in-soft.co.kr" TargetMode="External"/><Relationship Id="rId66" Type="http://schemas.openxmlformats.org/officeDocument/2006/relationships/hyperlink" Target="mailto:sion92@in-soft.co.kr" TargetMode="External"/><Relationship Id="rId5" Type="http://schemas.openxmlformats.org/officeDocument/2006/relationships/hyperlink" Target="mailto:khlee@in-soft.co.kr" TargetMode="External"/><Relationship Id="rId61" Type="http://schemas.openxmlformats.org/officeDocument/2006/relationships/hyperlink" Target="mailto:kskim@in-soft.co.kr" TargetMode="External"/><Relationship Id="rId19" Type="http://schemas.openxmlformats.org/officeDocument/2006/relationships/hyperlink" Target="mailto:sholee@in-soft.co.kr" TargetMode="External"/><Relationship Id="rId14" Type="http://schemas.openxmlformats.org/officeDocument/2006/relationships/hyperlink" Target="mailto:htkong@in-soft.co.kr" TargetMode="External"/><Relationship Id="rId22" Type="http://schemas.openxmlformats.org/officeDocument/2006/relationships/hyperlink" Target="mailto:jhhan@in-soft.co.kr" TargetMode="External"/><Relationship Id="rId27" Type="http://schemas.openxmlformats.org/officeDocument/2006/relationships/hyperlink" Target="mailto:shjung@in-soft.co.kr" TargetMode="External"/><Relationship Id="rId30" Type="http://schemas.openxmlformats.org/officeDocument/2006/relationships/hyperlink" Target="mailto:ysbae@in-soft.co.kr" TargetMode="External"/><Relationship Id="rId35" Type="http://schemas.openxmlformats.org/officeDocument/2006/relationships/hyperlink" Target="mailto:brkwon@in-soft.co.kr" TargetMode="External"/><Relationship Id="rId43" Type="http://schemas.openxmlformats.org/officeDocument/2006/relationships/hyperlink" Target="mailto:ymshim@in-soft.co.kr" TargetMode="External"/><Relationship Id="rId48" Type="http://schemas.openxmlformats.org/officeDocument/2006/relationships/hyperlink" Target="mailto:hjjo@in-soft.co.kr" TargetMode="External"/><Relationship Id="rId56" Type="http://schemas.openxmlformats.org/officeDocument/2006/relationships/hyperlink" Target="mailto:jaehak@in-soft.co.kr" TargetMode="External"/><Relationship Id="rId64" Type="http://schemas.openxmlformats.org/officeDocument/2006/relationships/hyperlink" Target="mailto:jkkim@in-soft.co.kr" TargetMode="External"/><Relationship Id="rId69" Type="http://schemas.openxmlformats.org/officeDocument/2006/relationships/hyperlink" Target="mailto:ehjeong@in-soft.co.kr" TargetMode="External"/><Relationship Id="rId8" Type="http://schemas.openxmlformats.org/officeDocument/2006/relationships/hyperlink" Target="mailto:ktpark@in-soft.co.kr" TargetMode="External"/><Relationship Id="rId51" Type="http://schemas.openxmlformats.org/officeDocument/2006/relationships/hyperlink" Target="mailto:djpark@in-soft.co.kr" TargetMode="External"/><Relationship Id="rId72" Type="http://schemas.openxmlformats.org/officeDocument/2006/relationships/hyperlink" Target="mailto:jyjung@in-soft.co.kr" TargetMode="External"/><Relationship Id="rId3" Type="http://schemas.openxmlformats.org/officeDocument/2006/relationships/hyperlink" Target="mailto:kjh@in-soft.co.kr" TargetMode="External"/><Relationship Id="rId12" Type="http://schemas.openxmlformats.org/officeDocument/2006/relationships/hyperlink" Target="mailto:skgo@in-soft.co.kr" TargetMode="External"/><Relationship Id="rId17" Type="http://schemas.openxmlformats.org/officeDocument/2006/relationships/hyperlink" Target="mailto:wmkim@in-soft.co.kr" TargetMode="External"/><Relationship Id="rId25" Type="http://schemas.openxmlformats.org/officeDocument/2006/relationships/hyperlink" Target="mailto:jongyeon@in-soft.co.kr" TargetMode="External"/><Relationship Id="rId33" Type="http://schemas.openxmlformats.org/officeDocument/2006/relationships/hyperlink" Target="mailto:cheolhan@in-soft.co.kr" TargetMode="External"/><Relationship Id="rId38" Type="http://schemas.openxmlformats.org/officeDocument/2006/relationships/hyperlink" Target="mailto:lsm@in-soft.co.kr" TargetMode="External"/><Relationship Id="rId46" Type="http://schemas.openxmlformats.org/officeDocument/2006/relationships/hyperlink" Target="mailto:swlee@in-soft.co.kr" TargetMode="External"/><Relationship Id="rId59" Type="http://schemas.openxmlformats.org/officeDocument/2006/relationships/hyperlink" Target="mailto:kschoi@in-soft.co.kr" TargetMode="External"/><Relationship Id="rId67" Type="http://schemas.openxmlformats.org/officeDocument/2006/relationships/hyperlink" Target="mailto:gwkim@in-soft.co.kr" TargetMode="External"/><Relationship Id="rId20" Type="http://schemas.openxmlformats.org/officeDocument/2006/relationships/hyperlink" Target="mailto:sghong@in-soft.co.kr" TargetMode="External"/><Relationship Id="rId41" Type="http://schemas.openxmlformats.org/officeDocument/2006/relationships/hyperlink" Target="mailto:jykim@in-soft.co.kr" TargetMode="External"/><Relationship Id="rId54" Type="http://schemas.openxmlformats.org/officeDocument/2006/relationships/hyperlink" Target="mailto:dhk@in-soft.co.kr" TargetMode="External"/><Relationship Id="rId62" Type="http://schemas.openxmlformats.org/officeDocument/2006/relationships/hyperlink" Target="mailto:jhlee@in-soft.co.kr" TargetMode="External"/><Relationship Id="rId70" Type="http://schemas.openxmlformats.org/officeDocument/2006/relationships/hyperlink" Target="mailto:ksk@in-soft.co.kr" TargetMode="External"/><Relationship Id="rId1" Type="http://schemas.openxmlformats.org/officeDocument/2006/relationships/hyperlink" Target="mailto:hpkihwang@in-soft.co.kr" TargetMode="External"/><Relationship Id="rId6" Type="http://schemas.openxmlformats.org/officeDocument/2006/relationships/hyperlink" Target="mailto:jhkim@in-soft.co.kr" TargetMode="External"/><Relationship Id="rId15" Type="http://schemas.openxmlformats.org/officeDocument/2006/relationships/hyperlink" Target="mailto:jwlee@in-soft.co.kr" TargetMode="External"/><Relationship Id="rId23" Type="http://schemas.openxmlformats.org/officeDocument/2006/relationships/hyperlink" Target="mailto:chpark@in-soft.co.kr" TargetMode="External"/><Relationship Id="rId28" Type="http://schemas.openxmlformats.org/officeDocument/2006/relationships/hyperlink" Target="mailto:chsong@in-soft.co.kr" TargetMode="External"/><Relationship Id="rId36" Type="http://schemas.openxmlformats.org/officeDocument/2006/relationships/hyperlink" Target="mailto:jhryu@in-soft.co.kr" TargetMode="External"/><Relationship Id="rId49" Type="http://schemas.openxmlformats.org/officeDocument/2006/relationships/hyperlink" Target="mailto:jhbang@in-soft.co.kr" TargetMode="External"/><Relationship Id="rId57" Type="http://schemas.openxmlformats.org/officeDocument/2006/relationships/hyperlink" Target="mailto:smho@in-soft.co.kr" TargetMode="External"/><Relationship Id="rId10" Type="http://schemas.openxmlformats.org/officeDocument/2006/relationships/hyperlink" Target="mailto:bkkim@in-soft.co.kr" TargetMode="External"/><Relationship Id="rId31" Type="http://schemas.openxmlformats.org/officeDocument/2006/relationships/hyperlink" Target="mailto:jwshin@in-soft.co.kr" TargetMode="External"/><Relationship Id="rId44" Type="http://schemas.openxmlformats.org/officeDocument/2006/relationships/hyperlink" Target="mailto:jdyoo@in-soft.co.kr" TargetMode="External"/><Relationship Id="rId52" Type="http://schemas.openxmlformats.org/officeDocument/2006/relationships/hyperlink" Target="mailto:sykim@in-soft.co.kr" TargetMode="External"/><Relationship Id="rId60" Type="http://schemas.openxmlformats.org/officeDocument/2006/relationships/hyperlink" Target="mailto:dioh@in-soft.co.kr" TargetMode="External"/><Relationship Id="rId65" Type="http://schemas.openxmlformats.org/officeDocument/2006/relationships/hyperlink" Target="mailto:sgoh@in-soft.co.kr" TargetMode="External"/><Relationship Id="rId4" Type="http://schemas.openxmlformats.org/officeDocument/2006/relationships/hyperlink" Target="mailto:jehkim@in-soft.co.kr" TargetMode="External"/><Relationship Id="rId9" Type="http://schemas.openxmlformats.org/officeDocument/2006/relationships/hyperlink" Target="mailto:jhjo@in-soft.co.kr" TargetMode="External"/><Relationship Id="rId13" Type="http://schemas.openxmlformats.org/officeDocument/2006/relationships/hyperlink" Target="mailto:kmkim@in-soft.co.kr" TargetMode="External"/><Relationship Id="rId18" Type="http://schemas.openxmlformats.org/officeDocument/2006/relationships/hyperlink" Target="mailto:shok@in-soft.co.kr" TargetMode="External"/><Relationship Id="rId39" Type="http://schemas.openxmlformats.org/officeDocument/2006/relationships/hyperlink" Target="mailto:sgbaek@in-soft.co.kr" TargetMode="External"/><Relationship Id="rId34" Type="http://schemas.openxmlformats.org/officeDocument/2006/relationships/hyperlink" Target="mailto:jychoi@in-soft.co.kr" TargetMode="External"/><Relationship Id="rId50" Type="http://schemas.openxmlformats.org/officeDocument/2006/relationships/hyperlink" Target="mailto:gbjeung@in-soft.co.kr" TargetMode="External"/><Relationship Id="rId55" Type="http://schemas.openxmlformats.org/officeDocument/2006/relationships/hyperlink" Target="mailto:kty@in-soft.co.k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000"/>
  <sheetViews>
    <sheetView showGridLines="0" workbookViewId="0">
      <pane ySplit="2" topLeftCell="A3" activePane="bottomLeft" state="frozen"/>
      <selection pane="bottomLeft" activeCell="H10" sqref="H10"/>
    </sheetView>
  </sheetViews>
  <sheetFormatPr defaultColWidth="14.42578125" defaultRowHeight="15" customHeight="1" outlineLevelCol="1"/>
  <cols>
    <col min="1" max="3" width="7.42578125" customWidth="1"/>
    <col min="4" max="5" width="7.140625" customWidth="1"/>
    <col min="6" max="6" width="11.28515625" customWidth="1"/>
    <col min="7" max="7" width="19.42578125" customWidth="1"/>
    <col min="8" max="8" width="16.7109375" customWidth="1"/>
    <col min="9" max="9" width="17.7109375" customWidth="1"/>
    <col min="10" max="10" width="15.85546875" customWidth="1"/>
    <col min="11" max="11" width="13.5703125" customWidth="1"/>
    <col min="12" max="12" width="15.7109375" customWidth="1"/>
    <col min="13" max="13" width="12" customWidth="1"/>
    <col min="14" max="14" width="24.7109375" customWidth="1"/>
    <col min="15" max="15" width="22.85546875" customWidth="1"/>
    <col min="16" max="18" width="11.7109375" customWidth="1"/>
    <col min="19" max="24" width="17.28515625" customWidth="1"/>
    <col min="25" max="26" width="10" customWidth="1"/>
    <col min="27" max="27" width="11.28515625" customWidth="1"/>
    <col min="28" max="28" width="20.5703125" customWidth="1"/>
    <col min="29" max="29" width="11.42578125" customWidth="1" outlineLevel="1"/>
    <col min="30" max="30" width="20.7109375" customWidth="1"/>
    <col min="31" max="31" width="11.28515625" customWidth="1"/>
    <col min="32" max="32" width="16.42578125" customWidth="1"/>
    <col min="33" max="33" width="12.42578125" customWidth="1"/>
    <col min="34" max="34" width="15.42578125" customWidth="1"/>
    <col min="35" max="35" width="66.28515625" customWidth="1"/>
    <col min="36" max="36" width="14.28515625" customWidth="1"/>
    <col min="37" max="37" width="25.7109375" customWidth="1"/>
    <col min="38" max="54" width="8.7109375" customWidth="1"/>
  </cols>
  <sheetData>
    <row r="1" spans="1:54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J1" s="2" t="s">
        <v>0</v>
      </c>
      <c r="AK1" s="3">
        <f ca="1">TODAY()</f>
        <v>46114</v>
      </c>
    </row>
    <row r="2" spans="1:54" ht="16.5">
      <c r="A2" s="4" t="s">
        <v>1</v>
      </c>
      <c r="B2" s="4" t="s">
        <v>2</v>
      </c>
      <c r="C2" s="4" t="s">
        <v>1</v>
      </c>
      <c r="D2" s="4" t="s">
        <v>3</v>
      </c>
      <c r="E2" s="4" t="s">
        <v>4</v>
      </c>
      <c r="F2" s="4"/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/>
      <c r="Q2" s="5" t="s">
        <v>14</v>
      </c>
      <c r="R2" s="5"/>
      <c r="S2" s="6" t="s">
        <v>15</v>
      </c>
      <c r="T2" s="6" t="s">
        <v>16</v>
      </c>
      <c r="U2" s="6" t="s">
        <v>17</v>
      </c>
      <c r="V2" s="6" t="s">
        <v>16</v>
      </c>
      <c r="W2" s="6" t="s">
        <v>18</v>
      </c>
      <c r="X2" s="6" t="s">
        <v>16</v>
      </c>
      <c r="Y2" s="5" t="s">
        <v>19</v>
      </c>
      <c r="Z2" s="6" t="s">
        <v>20</v>
      </c>
      <c r="AA2" s="6" t="s">
        <v>21</v>
      </c>
      <c r="AB2" s="6" t="s">
        <v>22</v>
      </c>
      <c r="AC2" s="7" t="s">
        <v>23</v>
      </c>
      <c r="AD2" s="8" t="s">
        <v>24</v>
      </c>
      <c r="AE2" s="5" t="s">
        <v>25</v>
      </c>
      <c r="AF2" s="5" t="s">
        <v>26</v>
      </c>
      <c r="AG2" s="5" t="s">
        <v>27</v>
      </c>
      <c r="AH2" s="5" t="s">
        <v>28</v>
      </c>
      <c r="AI2" s="4" t="s">
        <v>29</v>
      </c>
      <c r="AJ2" s="4" t="s">
        <v>30</v>
      </c>
      <c r="AK2" s="4" t="s">
        <v>31</v>
      </c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 ht="23.25" customHeight="1">
      <c r="A3" s="10" t="s">
        <v>32</v>
      </c>
      <c r="B3" s="11"/>
      <c r="C3" s="11"/>
      <c r="D3" s="11" t="s">
        <v>33</v>
      </c>
      <c r="E3" s="11" t="s">
        <v>34</v>
      </c>
      <c r="F3" s="11"/>
      <c r="G3" s="11" t="s">
        <v>35</v>
      </c>
      <c r="H3" s="11"/>
      <c r="I3" s="11"/>
      <c r="J3" s="12">
        <v>40742</v>
      </c>
      <c r="K3" s="11">
        <v>0</v>
      </c>
      <c r="L3" s="12">
        <v>40928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 t="s">
        <v>36</v>
      </c>
      <c r="Z3" s="11"/>
      <c r="AA3" s="11"/>
      <c r="AB3" s="11"/>
      <c r="AC3" s="13" t="e">
        <f t="shared" ref="AC3:AC39" si="0">+#REF!+#REF!+#REF!+#REF!+#REF!+#REF!+#REF!</f>
        <v>#REF!</v>
      </c>
      <c r="AD3" s="14" t="s">
        <v>37</v>
      </c>
      <c r="AE3" s="14">
        <v>17.5</v>
      </c>
      <c r="AF3" s="14" t="s">
        <v>38</v>
      </c>
      <c r="AG3" s="14">
        <v>17.5</v>
      </c>
      <c r="AH3" s="14" t="s">
        <v>38</v>
      </c>
      <c r="AI3" s="15" t="s">
        <v>39</v>
      </c>
      <c r="AJ3" s="15" t="s">
        <v>40</v>
      </c>
      <c r="AK3" s="16" t="s">
        <v>41</v>
      </c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 ht="23.25" customHeight="1">
      <c r="A4" s="10" t="s">
        <v>42</v>
      </c>
      <c r="B4" s="11"/>
      <c r="C4" s="11"/>
      <c r="D4" s="11" t="s">
        <v>43</v>
      </c>
      <c r="E4" s="11" t="s">
        <v>44</v>
      </c>
      <c r="F4" s="11"/>
      <c r="G4" s="11" t="s">
        <v>35</v>
      </c>
      <c r="H4" s="11"/>
      <c r="I4" s="11"/>
      <c r="J4" s="12">
        <v>40513</v>
      </c>
      <c r="K4" s="11">
        <v>0</v>
      </c>
      <c r="L4" s="12">
        <v>40939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 t="s">
        <v>36</v>
      </c>
      <c r="Z4" s="11"/>
      <c r="AA4" s="11"/>
      <c r="AB4" s="11"/>
      <c r="AC4" s="13" t="e">
        <f t="shared" si="0"/>
        <v>#REF!</v>
      </c>
      <c r="AD4" s="14" t="s">
        <v>37</v>
      </c>
      <c r="AE4" s="14">
        <v>25.133333333333333</v>
      </c>
      <c r="AF4" s="14" t="s">
        <v>45</v>
      </c>
      <c r="AG4" s="14">
        <v>25.133333333333333</v>
      </c>
      <c r="AH4" s="14" t="s">
        <v>45</v>
      </c>
      <c r="AI4" s="15" t="s">
        <v>46</v>
      </c>
      <c r="AJ4" s="15" t="s">
        <v>47</v>
      </c>
      <c r="AK4" s="16" t="s">
        <v>48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 ht="23.25" customHeight="1">
      <c r="A5" s="10" t="s">
        <v>49</v>
      </c>
      <c r="B5" s="11"/>
      <c r="C5" s="11"/>
      <c r="D5" s="11" t="s">
        <v>50</v>
      </c>
      <c r="E5" s="11" t="s">
        <v>51</v>
      </c>
      <c r="F5" s="11"/>
      <c r="G5" s="11" t="s">
        <v>52</v>
      </c>
      <c r="H5" s="11"/>
      <c r="I5" s="11"/>
      <c r="J5" s="12">
        <v>40381</v>
      </c>
      <c r="K5" s="11" t="s">
        <v>53</v>
      </c>
      <c r="L5" s="12">
        <v>40939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 t="s">
        <v>54</v>
      </c>
      <c r="Z5" s="11"/>
      <c r="AA5" s="11"/>
      <c r="AB5" s="11"/>
      <c r="AC5" s="13" t="e">
        <f t="shared" si="0"/>
        <v>#REF!</v>
      </c>
      <c r="AD5" s="14" t="s">
        <v>37</v>
      </c>
      <c r="AE5" s="14">
        <v>29.533333333333335</v>
      </c>
      <c r="AF5" s="14" t="s">
        <v>55</v>
      </c>
      <c r="AG5" s="14">
        <v>29.533333333333335</v>
      </c>
      <c r="AH5" s="14" t="s">
        <v>55</v>
      </c>
      <c r="AI5" s="15" t="s">
        <v>56</v>
      </c>
      <c r="AJ5" s="15" t="s">
        <v>57</v>
      </c>
      <c r="AK5" s="16" t="s">
        <v>58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 ht="23.25" customHeight="1">
      <c r="A6" s="10" t="s">
        <v>59</v>
      </c>
      <c r="B6" s="11"/>
      <c r="C6" s="11"/>
      <c r="D6" s="11" t="s">
        <v>60</v>
      </c>
      <c r="E6" s="11" t="s">
        <v>44</v>
      </c>
      <c r="F6" s="11"/>
      <c r="G6" s="11" t="s">
        <v>61</v>
      </c>
      <c r="H6" s="11"/>
      <c r="I6" s="11"/>
      <c r="J6" s="12">
        <v>40513</v>
      </c>
      <c r="K6" s="11">
        <v>0</v>
      </c>
      <c r="L6" s="12">
        <v>40968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 t="s">
        <v>62</v>
      </c>
      <c r="Z6" s="11"/>
      <c r="AA6" s="11"/>
      <c r="AB6" s="11"/>
      <c r="AC6" s="13" t="e">
        <f t="shared" si="0"/>
        <v>#REF!</v>
      </c>
      <c r="AD6" s="14" t="s">
        <v>37</v>
      </c>
      <c r="AE6" s="14">
        <v>25.133333333333333</v>
      </c>
      <c r="AF6" s="14" t="s">
        <v>45</v>
      </c>
      <c r="AG6" s="14">
        <v>25.133333333333333</v>
      </c>
      <c r="AH6" s="14" t="s">
        <v>45</v>
      </c>
      <c r="AI6" s="15" t="s">
        <v>63</v>
      </c>
      <c r="AJ6" s="15" t="s">
        <v>64</v>
      </c>
      <c r="AK6" s="16" t="s">
        <v>65</v>
      </c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:54" ht="23.25" customHeight="1">
      <c r="A7" s="10" t="s">
        <v>66</v>
      </c>
      <c r="B7" s="11"/>
      <c r="C7" s="11"/>
      <c r="D7" s="11" t="s">
        <v>67</v>
      </c>
      <c r="E7" s="11" t="s">
        <v>51</v>
      </c>
      <c r="F7" s="11"/>
      <c r="G7" s="11" t="s">
        <v>35</v>
      </c>
      <c r="H7" s="11"/>
      <c r="I7" s="11"/>
      <c r="J7" s="12">
        <v>40568</v>
      </c>
      <c r="K7" s="11">
        <v>0</v>
      </c>
      <c r="L7" s="12">
        <v>40983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 t="s">
        <v>62</v>
      </c>
      <c r="Z7" s="11"/>
      <c r="AA7" s="11"/>
      <c r="AB7" s="11"/>
      <c r="AC7" s="13" t="e">
        <f t="shared" si="0"/>
        <v>#REF!</v>
      </c>
      <c r="AD7" s="14" t="s">
        <v>37</v>
      </c>
      <c r="AE7" s="14">
        <v>23.3</v>
      </c>
      <c r="AF7" s="14" t="s">
        <v>68</v>
      </c>
      <c r="AG7" s="14">
        <v>23.3</v>
      </c>
      <c r="AH7" s="14" t="s">
        <v>68</v>
      </c>
      <c r="AI7" s="15" t="s">
        <v>69</v>
      </c>
      <c r="AJ7" s="15" t="s">
        <v>70</v>
      </c>
      <c r="AK7" s="16" t="s">
        <v>71</v>
      </c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spans="1:54" ht="23.25" customHeight="1">
      <c r="A8" s="10" t="s">
        <v>72</v>
      </c>
      <c r="B8" s="11"/>
      <c r="C8" s="11"/>
      <c r="D8" s="11" t="s">
        <v>73</v>
      </c>
      <c r="E8" s="11" t="s">
        <v>34</v>
      </c>
      <c r="F8" s="11"/>
      <c r="G8" s="11" t="s">
        <v>74</v>
      </c>
      <c r="H8" s="11"/>
      <c r="I8" s="11"/>
      <c r="J8" s="12">
        <v>38504</v>
      </c>
      <c r="K8" s="11" t="s">
        <v>75</v>
      </c>
      <c r="L8" s="12">
        <v>40999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 t="s">
        <v>54</v>
      </c>
      <c r="Z8" s="11"/>
      <c r="AA8" s="11"/>
      <c r="AB8" s="11"/>
      <c r="AC8" s="13" t="e">
        <f t="shared" si="0"/>
        <v>#REF!</v>
      </c>
      <c r="AD8" s="14" t="s">
        <v>37</v>
      </c>
      <c r="AE8" s="14">
        <v>92.1</v>
      </c>
      <c r="AF8" s="14" t="s">
        <v>76</v>
      </c>
      <c r="AG8" s="14">
        <v>92.1</v>
      </c>
      <c r="AH8" s="14" t="s">
        <v>76</v>
      </c>
      <c r="AI8" s="15" t="s">
        <v>77</v>
      </c>
      <c r="AJ8" s="15" t="s">
        <v>78</v>
      </c>
      <c r="AK8" s="17" t="s">
        <v>79</v>
      </c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</row>
    <row r="9" spans="1:54" ht="23.25" customHeight="1">
      <c r="A9" s="10" t="s">
        <v>80</v>
      </c>
      <c r="B9" s="11"/>
      <c r="C9" s="11"/>
      <c r="D9" s="11" t="s">
        <v>81</v>
      </c>
      <c r="E9" s="11" t="s">
        <v>44</v>
      </c>
      <c r="F9" s="11"/>
      <c r="G9" s="11" t="s">
        <v>74</v>
      </c>
      <c r="H9" s="11"/>
      <c r="I9" s="11"/>
      <c r="J9" s="12">
        <v>39356</v>
      </c>
      <c r="K9" s="11">
        <v>0</v>
      </c>
      <c r="L9" s="12">
        <v>40999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 t="s">
        <v>62</v>
      </c>
      <c r="Z9" s="11"/>
      <c r="AA9" s="11"/>
      <c r="AB9" s="11"/>
      <c r="AC9" s="13" t="e">
        <f t="shared" si="0"/>
        <v>#REF!</v>
      </c>
      <c r="AD9" s="14" t="s">
        <v>37</v>
      </c>
      <c r="AE9" s="14">
        <v>63.7</v>
      </c>
      <c r="AF9" s="14" t="s">
        <v>82</v>
      </c>
      <c r="AG9" s="14">
        <v>63.7</v>
      </c>
      <c r="AH9" s="14" t="s">
        <v>82</v>
      </c>
      <c r="AI9" s="15" t="s">
        <v>83</v>
      </c>
      <c r="AJ9" s="15" t="s">
        <v>84</v>
      </c>
      <c r="AK9" s="17" t="s">
        <v>85</v>
      </c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</row>
    <row r="10" spans="1:54" ht="23.25" customHeight="1">
      <c r="A10" s="10" t="s">
        <v>86</v>
      </c>
      <c r="B10" s="11"/>
      <c r="C10" s="11"/>
      <c r="D10" s="11" t="s">
        <v>87</v>
      </c>
      <c r="E10" s="11" t="s">
        <v>88</v>
      </c>
      <c r="F10" s="11"/>
      <c r="G10" s="11" t="s">
        <v>74</v>
      </c>
      <c r="H10" s="11"/>
      <c r="I10" s="11"/>
      <c r="J10" s="12">
        <v>39755</v>
      </c>
      <c r="K10" s="11">
        <v>0</v>
      </c>
      <c r="L10" s="12">
        <v>40999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>
        <v>0</v>
      </c>
      <c r="Z10" s="11"/>
      <c r="AA10" s="11"/>
      <c r="AB10" s="11"/>
      <c r="AC10" s="13" t="e">
        <f t="shared" si="0"/>
        <v>#REF!</v>
      </c>
      <c r="AD10" s="14" t="s">
        <v>37</v>
      </c>
      <c r="AE10" s="14">
        <v>50.4</v>
      </c>
      <c r="AF10" s="14" t="s">
        <v>89</v>
      </c>
      <c r="AG10" s="14">
        <v>50.4</v>
      </c>
      <c r="AH10" s="14" t="s">
        <v>89</v>
      </c>
      <c r="AI10" s="15" t="s">
        <v>90</v>
      </c>
      <c r="AJ10" s="15" t="s">
        <v>91</v>
      </c>
      <c r="AK10" s="17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spans="1:54" ht="23.25" customHeight="1">
      <c r="A11" s="10" t="s">
        <v>92</v>
      </c>
      <c r="B11" s="11"/>
      <c r="C11" s="11"/>
      <c r="D11" s="11" t="s">
        <v>93</v>
      </c>
      <c r="E11" s="11" t="s">
        <v>44</v>
      </c>
      <c r="F11" s="11"/>
      <c r="G11" s="11" t="s">
        <v>74</v>
      </c>
      <c r="H11" s="11"/>
      <c r="I11" s="11"/>
      <c r="J11" s="12">
        <v>40098</v>
      </c>
      <c r="K11" s="11">
        <v>0</v>
      </c>
      <c r="L11" s="12">
        <v>40999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 t="s">
        <v>62</v>
      </c>
      <c r="Z11" s="11"/>
      <c r="AA11" s="11"/>
      <c r="AB11" s="11"/>
      <c r="AC11" s="13" t="e">
        <f t="shared" si="0"/>
        <v>#REF!</v>
      </c>
      <c r="AD11" s="14" t="s">
        <v>37</v>
      </c>
      <c r="AE11" s="14">
        <v>38.966666666666669</v>
      </c>
      <c r="AF11" s="14" t="s">
        <v>94</v>
      </c>
      <c r="AG11" s="14">
        <v>38.966666666666669</v>
      </c>
      <c r="AH11" s="14" t="s">
        <v>94</v>
      </c>
      <c r="AI11" s="15" t="s">
        <v>95</v>
      </c>
      <c r="AJ11" s="15" t="s">
        <v>96</v>
      </c>
      <c r="AK11" s="17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4" ht="23.25" customHeight="1">
      <c r="A12" s="10" t="s">
        <v>97</v>
      </c>
      <c r="B12" s="11"/>
      <c r="C12" s="11"/>
      <c r="D12" s="11" t="s">
        <v>98</v>
      </c>
      <c r="E12" s="11" t="s">
        <v>44</v>
      </c>
      <c r="F12" s="11"/>
      <c r="G12" s="11" t="s">
        <v>35</v>
      </c>
      <c r="H12" s="11"/>
      <c r="I12" s="11"/>
      <c r="J12" s="12">
        <v>40168</v>
      </c>
      <c r="K12" s="11"/>
      <c r="L12" s="12">
        <v>41005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3" t="e">
        <f t="shared" si="0"/>
        <v>#REF!</v>
      </c>
      <c r="AD12" s="14" t="s">
        <v>37</v>
      </c>
      <c r="AE12" s="14">
        <v>36.633333333333333</v>
      </c>
      <c r="AF12" s="14" t="s">
        <v>99</v>
      </c>
      <c r="AG12" s="11"/>
      <c r="AH12" s="11"/>
      <c r="AI12" s="16"/>
      <c r="AJ12" s="16"/>
      <c r="AK12" s="16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4" ht="23.25" customHeight="1">
      <c r="A13" s="10" t="s">
        <v>100</v>
      </c>
      <c r="B13" s="11"/>
      <c r="C13" s="11"/>
      <c r="D13" s="11" t="s">
        <v>101</v>
      </c>
      <c r="E13" s="11" t="s">
        <v>44</v>
      </c>
      <c r="F13" s="11"/>
      <c r="G13" s="11" t="s">
        <v>35</v>
      </c>
      <c r="H13" s="11"/>
      <c r="I13" s="11"/>
      <c r="J13" s="12">
        <v>39479</v>
      </c>
      <c r="K13" s="11"/>
      <c r="L13" s="12">
        <v>41005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3" t="e">
        <f t="shared" si="0"/>
        <v>#REF!</v>
      </c>
      <c r="AD13" s="14" t="s">
        <v>37</v>
      </c>
      <c r="AE13" s="14">
        <v>59.6</v>
      </c>
      <c r="AF13" s="14" t="s">
        <v>102</v>
      </c>
      <c r="AG13" s="11"/>
      <c r="AH13" s="11"/>
      <c r="AI13" s="16"/>
      <c r="AJ13" s="16"/>
      <c r="AK13" s="16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spans="1:54" ht="23.25" customHeight="1">
      <c r="A14" s="10" t="s">
        <v>103</v>
      </c>
      <c r="B14" s="11"/>
      <c r="C14" s="11"/>
      <c r="D14" s="11" t="s">
        <v>104</v>
      </c>
      <c r="E14" s="11" t="s">
        <v>44</v>
      </c>
      <c r="F14" s="11"/>
      <c r="G14" s="11" t="s">
        <v>35</v>
      </c>
      <c r="H14" s="11"/>
      <c r="I14" s="11"/>
      <c r="J14" s="12">
        <v>39574</v>
      </c>
      <c r="K14" s="11"/>
      <c r="L14" s="12">
        <v>41009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3" t="e">
        <f t="shared" si="0"/>
        <v>#REF!</v>
      </c>
      <c r="AD14" s="14" t="s">
        <v>37</v>
      </c>
      <c r="AE14" s="14">
        <v>56.43333333333333</v>
      </c>
      <c r="AF14" s="14" t="s">
        <v>105</v>
      </c>
      <c r="AG14" s="11"/>
      <c r="AH14" s="11"/>
      <c r="AI14" s="16"/>
      <c r="AJ14" s="16"/>
      <c r="AK14" s="16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spans="1:54" ht="23.25" customHeight="1">
      <c r="A15" s="10" t="s">
        <v>106</v>
      </c>
      <c r="B15" s="11"/>
      <c r="C15" s="11"/>
      <c r="D15" s="11" t="s">
        <v>107</v>
      </c>
      <c r="E15" s="11" t="s">
        <v>51</v>
      </c>
      <c r="F15" s="11"/>
      <c r="G15" s="11" t="s">
        <v>52</v>
      </c>
      <c r="H15" s="11"/>
      <c r="I15" s="11"/>
      <c r="J15" s="12">
        <v>40588</v>
      </c>
      <c r="K15" s="11"/>
      <c r="L15" s="12">
        <v>41026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3" t="e">
        <f t="shared" si="0"/>
        <v>#REF!</v>
      </c>
      <c r="AD15" s="14" t="s">
        <v>37</v>
      </c>
      <c r="AE15" s="14">
        <v>22.633333333333333</v>
      </c>
      <c r="AF15" s="14" t="s">
        <v>108</v>
      </c>
      <c r="AG15" s="11"/>
      <c r="AH15" s="11"/>
      <c r="AI15" s="16"/>
      <c r="AJ15" s="16"/>
      <c r="AK15" s="16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  <row r="16" spans="1:54" ht="23.25" customHeight="1">
      <c r="A16" s="10" t="s">
        <v>109</v>
      </c>
      <c r="B16" s="11"/>
      <c r="C16" s="11"/>
      <c r="D16" s="11" t="s">
        <v>110</v>
      </c>
      <c r="E16" s="11" t="s">
        <v>44</v>
      </c>
      <c r="F16" s="11"/>
      <c r="G16" s="11" t="s">
        <v>35</v>
      </c>
      <c r="H16" s="11"/>
      <c r="I16" s="11"/>
      <c r="J16" s="12">
        <v>40266</v>
      </c>
      <c r="K16" s="11"/>
      <c r="L16" s="12">
        <v>41029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3" t="e">
        <f t="shared" si="0"/>
        <v>#REF!</v>
      </c>
      <c r="AD16" s="14" t="s">
        <v>37</v>
      </c>
      <c r="AE16" s="14">
        <v>33.366666666666667</v>
      </c>
      <c r="AF16" s="14" t="s">
        <v>111</v>
      </c>
      <c r="AG16" s="11"/>
      <c r="AH16" s="11"/>
      <c r="AI16" s="16"/>
      <c r="AJ16" s="16"/>
      <c r="AK16" s="16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</row>
    <row r="17" spans="1:54" ht="23.25" customHeight="1">
      <c r="A17" s="10" t="s">
        <v>112</v>
      </c>
      <c r="B17" s="11"/>
      <c r="C17" s="11"/>
      <c r="D17" s="11" t="s">
        <v>113</v>
      </c>
      <c r="E17" s="11" t="s">
        <v>34</v>
      </c>
      <c r="F17" s="11"/>
      <c r="G17" s="11" t="s">
        <v>114</v>
      </c>
      <c r="H17" s="11"/>
      <c r="I17" s="11"/>
      <c r="J17" s="12">
        <v>40391</v>
      </c>
      <c r="K17" s="11"/>
      <c r="L17" s="12">
        <v>41029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3" t="e">
        <f t="shared" si="0"/>
        <v>#REF!</v>
      </c>
      <c r="AD17" s="14" t="s">
        <v>37</v>
      </c>
      <c r="AE17" s="14">
        <v>29.2</v>
      </c>
      <c r="AF17" s="14" t="s">
        <v>55</v>
      </c>
      <c r="AG17" s="11"/>
      <c r="AH17" s="11"/>
      <c r="AI17" s="16"/>
      <c r="AJ17" s="16"/>
      <c r="AK17" s="16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</row>
    <row r="18" spans="1:54" ht="23.25" customHeight="1">
      <c r="A18" s="10" t="s">
        <v>115</v>
      </c>
      <c r="B18" s="11"/>
      <c r="C18" s="11"/>
      <c r="D18" s="11" t="s">
        <v>116</v>
      </c>
      <c r="E18" s="11" t="s">
        <v>44</v>
      </c>
      <c r="F18" s="11"/>
      <c r="G18" s="11" t="s">
        <v>35</v>
      </c>
      <c r="H18" s="11"/>
      <c r="I18" s="11"/>
      <c r="J18" s="12">
        <v>40360</v>
      </c>
      <c r="K18" s="11"/>
      <c r="L18" s="12">
        <v>41029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3" t="e">
        <f t="shared" si="0"/>
        <v>#REF!</v>
      </c>
      <c r="AD18" s="14" t="s">
        <v>37</v>
      </c>
      <c r="AE18" s="14">
        <v>30.233333333333334</v>
      </c>
      <c r="AF18" s="14" t="s">
        <v>117</v>
      </c>
      <c r="AG18" s="11"/>
      <c r="AH18" s="11"/>
      <c r="AI18" s="16"/>
      <c r="AJ18" s="16"/>
      <c r="AK18" s="16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</row>
    <row r="19" spans="1:54" ht="23.25" customHeight="1">
      <c r="A19" s="10" t="s">
        <v>118</v>
      </c>
      <c r="B19" s="11"/>
      <c r="C19" s="11"/>
      <c r="D19" s="11" t="s">
        <v>119</v>
      </c>
      <c r="E19" s="11" t="s">
        <v>88</v>
      </c>
      <c r="F19" s="11"/>
      <c r="G19" s="11" t="s">
        <v>120</v>
      </c>
      <c r="H19" s="11"/>
      <c r="I19" s="11"/>
      <c r="J19" s="12">
        <v>40763</v>
      </c>
      <c r="K19" s="11"/>
      <c r="L19" s="12">
        <v>41029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3" t="e">
        <f t="shared" si="0"/>
        <v>#REF!</v>
      </c>
      <c r="AD19" s="14" t="s">
        <v>37</v>
      </c>
      <c r="AE19" s="14">
        <v>16.8</v>
      </c>
      <c r="AF19" s="14" t="s">
        <v>121</v>
      </c>
      <c r="AG19" s="11"/>
      <c r="AH19" s="11"/>
      <c r="AI19" s="16"/>
      <c r="AJ19" s="16"/>
      <c r="AK19" s="16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</row>
    <row r="20" spans="1:54" ht="20.25" customHeight="1">
      <c r="A20" s="10" t="s">
        <v>122</v>
      </c>
      <c r="B20" s="11"/>
      <c r="C20" s="11"/>
      <c r="D20" s="11" t="s">
        <v>123</v>
      </c>
      <c r="E20" s="11" t="s">
        <v>51</v>
      </c>
      <c r="F20" s="11"/>
      <c r="G20" s="11" t="s">
        <v>124</v>
      </c>
      <c r="H20" s="11"/>
      <c r="I20" s="11"/>
      <c r="J20" s="12">
        <v>39694</v>
      </c>
      <c r="K20" s="11">
        <v>0</v>
      </c>
      <c r="L20" s="12">
        <v>40921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 t="s">
        <v>62</v>
      </c>
      <c r="Z20" s="11"/>
      <c r="AA20" s="11"/>
      <c r="AB20" s="11"/>
      <c r="AC20" s="13" t="e">
        <f t="shared" si="0"/>
        <v>#REF!</v>
      </c>
      <c r="AD20" s="14" t="s">
        <v>37</v>
      </c>
      <c r="AE20" s="14">
        <v>52.43333333333333</v>
      </c>
      <c r="AF20" s="14" t="s">
        <v>125</v>
      </c>
      <c r="AG20" s="14">
        <v>52.43333333333333</v>
      </c>
      <c r="AH20" s="14" t="s">
        <v>125</v>
      </c>
      <c r="AI20" s="15" t="s">
        <v>126</v>
      </c>
      <c r="AJ20" s="15" t="s">
        <v>127</v>
      </c>
      <c r="AK20" s="16" t="s">
        <v>128</v>
      </c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</row>
    <row r="21" spans="1:54" ht="23.25" customHeight="1">
      <c r="A21" s="10" t="s">
        <v>129</v>
      </c>
      <c r="B21" s="11"/>
      <c r="C21" s="11"/>
      <c r="D21" s="11" t="s">
        <v>130</v>
      </c>
      <c r="E21" s="11" t="s">
        <v>34</v>
      </c>
      <c r="F21" s="11"/>
      <c r="G21" s="11" t="s">
        <v>35</v>
      </c>
      <c r="H21" s="11"/>
      <c r="I21" s="11"/>
      <c r="J21" s="12">
        <v>40910</v>
      </c>
      <c r="K21" s="11"/>
      <c r="L21" s="12">
        <v>41033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3" t="e">
        <f t="shared" si="0"/>
        <v>#REF!</v>
      </c>
      <c r="AD21" s="14" t="s">
        <v>37</v>
      </c>
      <c r="AE21" s="14">
        <v>11.9</v>
      </c>
      <c r="AF21" s="14" t="s">
        <v>131</v>
      </c>
      <c r="AG21" s="11"/>
      <c r="AH21" s="11"/>
      <c r="AI21" s="16"/>
      <c r="AJ21" s="16"/>
      <c r="AK21" s="16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</row>
    <row r="22" spans="1:54" ht="23.25" customHeight="1">
      <c r="A22" s="10" t="s">
        <v>132</v>
      </c>
      <c r="B22" s="11"/>
      <c r="C22" s="11"/>
      <c r="D22" s="11" t="s">
        <v>133</v>
      </c>
      <c r="E22" s="11" t="s">
        <v>51</v>
      </c>
      <c r="F22" s="11"/>
      <c r="G22" s="11" t="s">
        <v>52</v>
      </c>
      <c r="H22" s="11"/>
      <c r="I22" s="11"/>
      <c r="J22" s="12">
        <v>40589</v>
      </c>
      <c r="K22" s="11"/>
      <c r="L22" s="12">
        <v>41038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3" t="e">
        <f t="shared" si="0"/>
        <v>#REF!</v>
      </c>
      <c r="AD22" s="14" t="s">
        <v>37</v>
      </c>
      <c r="AE22" s="14">
        <v>22.6</v>
      </c>
      <c r="AF22" s="14" t="s">
        <v>108</v>
      </c>
      <c r="AG22" s="11"/>
      <c r="AH22" s="11"/>
      <c r="AI22" s="16"/>
      <c r="AJ22" s="16"/>
      <c r="AK22" s="16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</row>
    <row r="23" spans="1:54" ht="23.25" customHeight="1">
      <c r="A23" s="10" t="s">
        <v>134</v>
      </c>
      <c r="B23" s="11"/>
      <c r="C23" s="11"/>
      <c r="D23" s="11" t="s">
        <v>135</v>
      </c>
      <c r="E23" s="11" t="s">
        <v>88</v>
      </c>
      <c r="F23" s="11"/>
      <c r="G23" s="11" t="s">
        <v>52</v>
      </c>
      <c r="H23" s="11"/>
      <c r="I23" s="11"/>
      <c r="J23" s="12">
        <v>41024</v>
      </c>
      <c r="K23" s="11"/>
      <c r="L23" s="12">
        <v>41060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3" t="e">
        <f t="shared" si="0"/>
        <v>#REF!</v>
      </c>
      <c r="AD23" s="14" t="s">
        <v>37</v>
      </c>
      <c r="AE23" s="14">
        <v>8.1</v>
      </c>
      <c r="AF23" s="14" t="s">
        <v>136</v>
      </c>
      <c r="AG23" s="11"/>
      <c r="AH23" s="11"/>
      <c r="AI23" s="16"/>
      <c r="AJ23" s="16"/>
      <c r="AK23" s="16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</row>
    <row r="24" spans="1:54" ht="23.25" customHeight="1">
      <c r="A24" s="10" t="s">
        <v>137</v>
      </c>
      <c r="B24" s="11"/>
      <c r="C24" s="11"/>
      <c r="D24" s="11" t="s">
        <v>138</v>
      </c>
      <c r="E24" s="11" t="s">
        <v>139</v>
      </c>
      <c r="F24" s="11"/>
      <c r="G24" s="11" t="s">
        <v>114</v>
      </c>
      <c r="H24" s="11"/>
      <c r="I24" s="11"/>
      <c r="J24" s="12">
        <v>38292</v>
      </c>
      <c r="K24" s="11"/>
      <c r="L24" s="12">
        <v>41090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3" t="e">
        <f t="shared" si="0"/>
        <v>#REF!</v>
      </c>
      <c r="AD24" s="14" t="s">
        <v>37</v>
      </c>
      <c r="AE24" s="14">
        <v>99.166666666666671</v>
      </c>
      <c r="AF24" s="14" t="s">
        <v>140</v>
      </c>
      <c r="AG24" s="11"/>
      <c r="AH24" s="11"/>
      <c r="AI24" s="16"/>
      <c r="AJ24" s="16"/>
      <c r="AK24" s="16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</row>
    <row r="25" spans="1:54" ht="23.25" customHeight="1">
      <c r="A25" s="10" t="s">
        <v>141</v>
      </c>
      <c r="B25" s="10" t="s">
        <v>142</v>
      </c>
      <c r="C25" s="10"/>
      <c r="D25" s="10" t="s">
        <v>143</v>
      </c>
      <c r="E25" s="10" t="s">
        <v>51</v>
      </c>
      <c r="F25" s="10"/>
      <c r="G25" s="11" t="s">
        <v>144</v>
      </c>
      <c r="H25" s="11"/>
      <c r="I25" s="18" t="s">
        <v>145</v>
      </c>
      <c r="J25" s="12">
        <v>40973</v>
      </c>
      <c r="K25" s="11"/>
      <c r="L25" s="12">
        <v>41096</v>
      </c>
      <c r="M25" s="11" t="s">
        <v>146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3" t="e">
        <f t="shared" si="0"/>
        <v>#REF!</v>
      </c>
      <c r="AD25" s="14" t="s">
        <v>37</v>
      </c>
      <c r="AE25" s="14">
        <v>9.8000000000000007</v>
      </c>
      <c r="AF25" s="14" t="s">
        <v>147</v>
      </c>
      <c r="AG25" s="11"/>
      <c r="AH25" s="11"/>
      <c r="AI25" s="16"/>
      <c r="AJ25" s="16"/>
      <c r="AK25" s="16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</row>
    <row r="26" spans="1:54" ht="23.25" customHeight="1">
      <c r="A26" s="10" t="s">
        <v>148</v>
      </c>
      <c r="B26" s="10" t="s">
        <v>149</v>
      </c>
      <c r="C26" s="10"/>
      <c r="D26" s="10" t="s">
        <v>150</v>
      </c>
      <c r="E26" s="10" t="s">
        <v>34</v>
      </c>
      <c r="F26" s="10"/>
      <c r="G26" s="11" t="s">
        <v>151</v>
      </c>
      <c r="H26" s="11"/>
      <c r="I26" s="18" t="s">
        <v>152</v>
      </c>
      <c r="J26" s="12">
        <v>40848</v>
      </c>
      <c r="K26" s="11"/>
      <c r="L26" s="12">
        <v>41100</v>
      </c>
      <c r="M26" s="11" t="s">
        <v>153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3" t="e">
        <f t="shared" si="0"/>
        <v>#REF!</v>
      </c>
      <c r="AD26" s="14" t="s">
        <v>37</v>
      </c>
      <c r="AE26" s="14">
        <v>13.966666666666667</v>
      </c>
      <c r="AF26" s="14" t="s">
        <v>154</v>
      </c>
      <c r="AG26" s="11"/>
      <c r="AH26" s="11"/>
      <c r="AI26" s="16"/>
      <c r="AJ26" s="16"/>
      <c r="AK26" s="16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</row>
    <row r="27" spans="1:54" ht="23.25" customHeight="1">
      <c r="A27" s="10" t="s">
        <v>155</v>
      </c>
      <c r="B27" s="10" t="s">
        <v>156</v>
      </c>
      <c r="C27" s="10"/>
      <c r="D27" s="10" t="s">
        <v>157</v>
      </c>
      <c r="E27" s="10" t="s">
        <v>51</v>
      </c>
      <c r="F27" s="10"/>
      <c r="G27" s="11" t="s">
        <v>35</v>
      </c>
      <c r="H27" s="11"/>
      <c r="I27" s="18" t="s">
        <v>158</v>
      </c>
      <c r="J27" s="12">
        <v>40903</v>
      </c>
      <c r="K27" s="11"/>
      <c r="L27" s="12">
        <v>41121</v>
      </c>
      <c r="M27" s="11" t="s">
        <v>153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3" t="e">
        <f t="shared" si="0"/>
        <v>#REF!</v>
      </c>
      <c r="AD27" s="14" t="s">
        <v>37</v>
      </c>
      <c r="AE27" s="14">
        <v>12.133333333333333</v>
      </c>
      <c r="AF27" s="14" t="s">
        <v>159</v>
      </c>
      <c r="AG27" s="11"/>
      <c r="AH27" s="11"/>
      <c r="AI27" s="16"/>
      <c r="AJ27" s="16"/>
      <c r="AK27" s="16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</row>
    <row r="28" spans="1:54" ht="23.25" customHeight="1">
      <c r="A28" s="10" t="s">
        <v>160</v>
      </c>
      <c r="B28" s="10" t="s">
        <v>161</v>
      </c>
      <c r="C28" s="10"/>
      <c r="D28" s="10" t="s">
        <v>162</v>
      </c>
      <c r="E28" s="10" t="s">
        <v>88</v>
      </c>
      <c r="F28" s="10"/>
      <c r="G28" s="11" t="s">
        <v>35</v>
      </c>
      <c r="H28" s="11"/>
      <c r="I28" s="18" t="s">
        <v>163</v>
      </c>
      <c r="J28" s="12">
        <v>40756</v>
      </c>
      <c r="K28" s="11"/>
      <c r="L28" s="12">
        <v>41152</v>
      </c>
      <c r="M28" s="11" t="s">
        <v>153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3" t="e">
        <f t="shared" si="0"/>
        <v>#REF!</v>
      </c>
      <c r="AD28" s="14" t="s">
        <v>37</v>
      </c>
      <c r="AE28" s="14">
        <v>17.033333333333335</v>
      </c>
      <c r="AF28" s="14" t="s">
        <v>38</v>
      </c>
      <c r="AG28" s="11"/>
      <c r="AH28" s="11"/>
      <c r="AI28" s="16"/>
      <c r="AJ28" s="16"/>
      <c r="AK28" s="16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</row>
    <row r="29" spans="1:54" ht="23.25" customHeight="1">
      <c r="A29" s="10" t="s">
        <v>164</v>
      </c>
      <c r="B29" s="10" t="s">
        <v>165</v>
      </c>
      <c r="C29" s="10"/>
      <c r="D29" s="10" t="s">
        <v>166</v>
      </c>
      <c r="E29" s="10" t="s">
        <v>34</v>
      </c>
      <c r="F29" s="10"/>
      <c r="G29" s="16" t="s">
        <v>144</v>
      </c>
      <c r="H29" s="16"/>
      <c r="I29" s="18" t="s">
        <v>167</v>
      </c>
      <c r="J29" s="12">
        <v>40329</v>
      </c>
      <c r="K29" s="11"/>
      <c r="L29" s="12">
        <v>41166</v>
      </c>
      <c r="M29" s="11" t="s">
        <v>146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3" t="e">
        <f t="shared" si="0"/>
        <v>#REF!</v>
      </c>
      <c r="AD29" s="14" t="s">
        <v>37</v>
      </c>
      <c r="AE29" s="14">
        <v>31.266666666666666</v>
      </c>
      <c r="AF29" s="14" t="s">
        <v>168</v>
      </c>
      <c r="AG29" s="11"/>
      <c r="AH29" s="11"/>
      <c r="AI29" s="16"/>
      <c r="AJ29" s="16"/>
      <c r="AK29" s="16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</row>
    <row r="30" spans="1:54" ht="23.25" customHeight="1">
      <c r="A30" s="10" t="s">
        <v>169</v>
      </c>
      <c r="B30" s="10" t="s">
        <v>170</v>
      </c>
      <c r="C30" s="10"/>
      <c r="D30" s="10" t="s">
        <v>171</v>
      </c>
      <c r="E30" s="10" t="s">
        <v>172</v>
      </c>
      <c r="F30" s="10"/>
      <c r="G30" s="16" t="s">
        <v>35</v>
      </c>
      <c r="H30" s="16"/>
      <c r="I30" s="18" t="s">
        <v>173</v>
      </c>
      <c r="J30" s="12">
        <v>40399</v>
      </c>
      <c r="K30" s="11"/>
      <c r="L30" s="12">
        <v>41166</v>
      </c>
      <c r="M30" s="11" t="s">
        <v>153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3" t="e">
        <f t="shared" si="0"/>
        <v>#REF!</v>
      </c>
      <c r="AD30" s="14" t="s">
        <v>37</v>
      </c>
      <c r="AE30" s="14">
        <v>28.933333333333334</v>
      </c>
      <c r="AF30" s="14" t="s">
        <v>174</v>
      </c>
      <c r="AG30" s="11"/>
      <c r="AH30" s="11"/>
      <c r="AI30" s="16"/>
      <c r="AJ30" s="16"/>
      <c r="AK30" s="16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</row>
    <row r="31" spans="1:54" ht="23.25" customHeight="1">
      <c r="A31" s="10" t="s">
        <v>175</v>
      </c>
      <c r="B31" s="10" t="s">
        <v>176</v>
      </c>
      <c r="C31" s="10"/>
      <c r="D31" s="10" t="s">
        <v>177</v>
      </c>
      <c r="E31" s="10" t="s">
        <v>51</v>
      </c>
      <c r="F31" s="10"/>
      <c r="G31" s="16" t="s">
        <v>35</v>
      </c>
      <c r="H31" s="16"/>
      <c r="I31" s="18" t="s">
        <v>178</v>
      </c>
      <c r="J31" s="12">
        <v>40560</v>
      </c>
      <c r="K31" s="11"/>
      <c r="L31" s="12">
        <v>41166</v>
      </c>
      <c r="M31" s="11" t="s">
        <v>153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3" t="e">
        <f t="shared" si="0"/>
        <v>#REF!</v>
      </c>
      <c r="AD31" s="14" t="s">
        <v>37</v>
      </c>
      <c r="AE31" s="14">
        <v>23.566666666666666</v>
      </c>
      <c r="AF31" s="14" t="s">
        <v>68</v>
      </c>
      <c r="AG31" s="11"/>
      <c r="AH31" s="11"/>
      <c r="AI31" s="16"/>
      <c r="AJ31" s="16"/>
      <c r="AK31" s="16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</row>
    <row r="32" spans="1:54" ht="23.25" customHeight="1">
      <c r="A32" s="10" t="s">
        <v>179</v>
      </c>
      <c r="B32" s="10" t="s">
        <v>180</v>
      </c>
      <c r="C32" s="10"/>
      <c r="D32" s="10" t="s">
        <v>181</v>
      </c>
      <c r="E32" s="10" t="s">
        <v>51</v>
      </c>
      <c r="F32" s="10"/>
      <c r="G32" s="16" t="s">
        <v>35</v>
      </c>
      <c r="H32" s="16"/>
      <c r="I32" s="18" t="s">
        <v>182</v>
      </c>
      <c r="J32" s="12">
        <v>40589</v>
      </c>
      <c r="K32" s="11"/>
      <c r="L32" s="12">
        <v>41166</v>
      </c>
      <c r="M32" s="11" t="s">
        <v>146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3" t="e">
        <f t="shared" si="0"/>
        <v>#REF!</v>
      </c>
      <c r="AD32" s="14" t="s">
        <v>37</v>
      </c>
      <c r="AE32" s="14">
        <v>22.6</v>
      </c>
      <c r="AF32" s="14" t="s">
        <v>108</v>
      </c>
      <c r="AG32" s="11"/>
      <c r="AH32" s="11"/>
      <c r="AI32" s="16"/>
      <c r="AJ32" s="16"/>
      <c r="AK32" s="16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</row>
    <row r="33" spans="1:54" ht="23.25" customHeight="1">
      <c r="A33" s="10" t="s">
        <v>183</v>
      </c>
      <c r="B33" s="10" t="s">
        <v>184</v>
      </c>
      <c r="C33" s="10"/>
      <c r="D33" s="10" t="s">
        <v>185</v>
      </c>
      <c r="E33" s="10" t="s">
        <v>51</v>
      </c>
      <c r="F33" s="10"/>
      <c r="G33" s="16" t="s">
        <v>35</v>
      </c>
      <c r="H33" s="16"/>
      <c r="I33" s="18" t="s">
        <v>186</v>
      </c>
      <c r="J33" s="12">
        <v>40569</v>
      </c>
      <c r="K33" s="11"/>
      <c r="L33" s="12">
        <v>41182</v>
      </c>
      <c r="M33" s="11" t="s">
        <v>153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3" t="e">
        <f t="shared" si="0"/>
        <v>#REF!</v>
      </c>
      <c r="AD33" s="14" t="s">
        <v>37</v>
      </c>
      <c r="AE33" s="14">
        <v>23.266666666666666</v>
      </c>
      <c r="AF33" s="14" t="s">
        <v>68</v>
      </c>
      <c r="AG33" s="11"/>
      <c r="AH33" s="11"/>
      <c r="AI33" s="16"/>
      <c r="AJ33" s="16"/>
      <c r="AK33" s="16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</row>
    <row r="34" spans="1:54" ht="23.25" customHeight="1">
      <c r="A34" s="10" t="s">
        <v>187</v>
      </c>
      <c r="B34" s="10" t="s">
        <v>188</v>
      </c>
      <c r="C34" s="10"/>
      <c r="D34" s="10" t="s">
        <v>189</v>
      </c>
      <c r="E34" s="10" t="s">
        <v>44</v>
      </c>
      <c r="F34" s="10"/>
      <c r="G34" s="11" t="s">
        <v>35</v>
      </c>
      <c r="H34" s="11"/>
      <c r="I34" s="18" t="s">
        <v>190</v>
      </c>
      <c r="J34" s="12">
        <v>41015</v>
      </c>
      <c r="K34" s="11"/>
      <c r="L34" s="12">
        <v>41182</v>
      </c>
      <c r="M34" s="11" t="s">
        <v>153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3" t="e">
        <f t="shared" si="0"/>
        <v>#REF!</v>
      </c>
      <c r="AD34" s="14" t="s">
        <v>37</v>
      </c>
      <c r="AE34" s="14">
        <v>8.4</v>
      </c>
      <c r="AF34" s="14" t="s">
        <v>136</v>
      </c>
      <c r="AG34" s="11"/>
      <c r="AH34" s="11"/>
      <c r="AI34" s="16"/>
      <c r="AJ34" s="16"/>
      <c r="AK34" s="16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</row>
    <row r="35" spans="1:54" ht="23.25" customHeight="1">
      <c r="A35" s="10" t="s">
        <v>191</v>
      </c>
      <c r="B35" s="10" t="s">
        <v>192</v>
      </c>
      <c r="C35" s="10" t="s">
        <v>193</v>
      </c>
      <c r="D35" s="10" t="s">
        <v>194</v>
      </c>
      <c r="E35" s="10" t="s">
        <v>34</v>
      </c>
      <c r="F35" s="10"/>
      <c r="G35" s="19" t="e">
        <f>+VLOOKUP($B35,#REF!,5,0)</f>
        <v>#REF!</v>
      </c>
      <c r="H35" s="19" t="e">
        <f>+VLOOKUP($B35,#REF!,6,0)</f>
        <v>#REF!</v>
      </c>
      <c r="I35" s="18" t="s">
        <v>195</v>
      </c>
      <c r="J35" s="12">
        <v>41015</v>
      </c>
      <c r="K35" s="11"/>
      <c r="L35" s="12">
        <v>41182</v>
      </c>
      <c r="M35" s="11" t="s">
        <v>196</v>
      </c>
      <c r="N35" s="11" t="s">
        <v>197</v>
      </c>
      <c r="O35" s="11"/>
      <c r="P35" s="11"/>
      <c r="Q35" s="11" t="s">
        <v>198</v>
      </c>
      <c r="R35" s="11"/>
      <c r="S35" s="11"/>
      <c r="T35" s="11"/>
      <c r="U35" s="11"/>
      <c r="V35" s="11"/>
      <c r="W35" s="11"/>
      <c r="X35" s="11"/>
      <c r="Y35" s="11" t="s">
        <v>199</v>
      </c>
      <c r="Z35" s="11" t="s">
        <v>200</v>
      </c>
      <c r="AA35" s="12"/>
      <c r="AB35" s="11"/>
      <c r="AC35" s="13" t="e">
        <f t="shared" si="0"/>
        <v>#REF!</v>
      </c>
      <c r="AD35" s="14" t="s">
        <v>37</v>
      </c>
      <c r="AE35" s="14">
        <v>8.4</v>
      </c>
      <c r="AF35" s="14" t="s">
        <v>136</v>
      </c>
      <c r="AG35" s="14">
        <v>8.4</v>
      </c>
      <c r="AH35" s="14" t="s">
        <v>136</v>
      </c>
      <c r="AI35" s="15" t="s">
        <v>201</v>
      </c>
      <c r="AJ35" s="15" t="s">
        <v>202</v>
      </c>
      <c r="AK35" s="16" t="s">
        <v>203</v>
      </c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</row>
    <row r="36" spans="1:54" ht="23.25" customHeight="1">
      <c r="A36" s="10" t="s">
        <v>204</v>
      </c>
      <c r="B36" s="10" t="s">
        <v>205</v>
      </c>
      <c r="C36" s="10" t="s">
        <v>193</v>
      </c>
      <c r="D36" s="10" t="s">
        <v>206</v>
      </c>
      <c r="E36" s="10" t="s">
        <v>44</v>
      </c>
      <c r="F36" s="10"/>
      <c r="G36" s="19" t="e">
        <f>+VLOOKUP($B36,#REF!,5,0)</f>
        <v>#REF!</v>
      </c>
      <c r="H36" s="19" t="e">
        <f>+VLOOKUP($B36,#REF!,6,0)</f>
        <v>#REF!</v>
      </c>
      <c r="I36" s="18" t="s">
        <v>207</v>
      </c>
      <c r="J36" s="12">
        <v>40812</v>
      </c>
      <c r="K36" s="11"/>
      <c r="L36" s="12">
        <v>41201</v>
      </c>
      <c r="M36" s="11" t="s">
        <v>146</v>
      </c>
      <c r="N36" s="11" t="s">
        <v>208</v>
      </c>
      <c r="O36" s="11"/>
      <c r="P36" s="11"/>
      <c r="Q36" s="11" t="s">
        <v>209</v>
      </c>
      <c r="R36" s="11"/>
      <c r="S36" s="11"/>
      <c r="T36" s="11"/>
      <c r="U36" s="11"/>
      <c r="V36" s="11"/>
      <c r="W36" s="11"/>
      <c r="X36" s="11"/>
      <c r="Y36" s="11" t="s">
        <v>210</v>
      </c>
      <c r="Z36" s="11" t="s">
        <v>211</v>
      </c>
      <c r="AA36" s="12" t="e">
        <f>+VLOOKUP($D36,[1]Sheet1!$A$1:$C$42,3,0)</f>
        <v>#N/A</v>
      </c>
      <c r="AB36" s="11" t="e">
        <f>+VLOOKUP($D36,[1]Sheet1!$A$1:$C$42,2,0)</f>
        <v>#N/A</v>
      </c>
      <c r="AC36" s="20" t="e">
        <f t="shared" si="0"/>
        <v>#REF!</v>
      </c>
      <c r="AD36" s="14" t="s">
        <v>37</v>
      </c>
      <c r="AE36" s="14">
        <v>15.166666666666666</v>
      </c>
      <c r="AF36" s="14" t="s">
        <v>212</v>
      </c>
      <c r="AG36" s="14">
        <v>15.166666666666666</v>
      </c>
      <c r="AH36" s="14" t="s">
        <v>212</v>
      </c>
      <c r="AI36" s="15" t="s">
        <v>213</v>
      </c>
      <c r="AJ36" s="15" t="s">
        <v>214</v>
      </c>
      <c r="AK36" s="16" t="s">
        <v>215</v>
      </c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</row>
    <row r="37" spans="1:54" ht="23.25" customHeight="1">
      <c r="A37" s="10" t="s">
        <v>216</v>
      </c>
      <c r="B37" s="10" t="s">
        <v>217</v>
      </c>
      <c r="C37" s="10" t="s">
        <v>193</v>
      </c>
      <c r="D37" s="10" t="s">
        <v>218</v>
      </c>
      <c r="E37" s="10" t="s">
        <v>44</v>
      </c>
      <c r="F37" s="10"/>
      <c r="G37" s="19" t="e">
        <f>+VLOOKUP($B37,#REF!,5,0)</f>
        <v>#REF!</v>
      </c>
      <c r="H37" s="19" t="e">
        <f>+VLOOKUP($B37,#REF!,6,0)</f>
        <v>#REF!</v>
      </c>
      <c r="I37" s="18" t="s">
        <v>219</v>
      </c>
      <c r="J37" s="12">
        <v>40513</v>
      </c>
      <c r="K37" s="11"/>
      <c r="L37" s="12">
        <v>41213</v>
      </c>
      <c r="M37" s="11" t="s">
        <v>153</v>
      </c>
      <c r="N37" s="11" t="s">
        <v>220</v>
      </c>
      <c r="O37" s="11"/>
      <c r="P37" s="11"/>
      <c r="Q37" s="11" t="s">
        <v>209</v>
      </c>
      <c r="R37" s="11"/>
      <c r="S37" s="11"/>
      <c r="T37" s="11"/>
      <c r="U37" s="11"/>
      <c r="V37" s="11"/>
      <c r="W37" s="11"/>
      <c r="X37" s="11"/>
      <c r="Y37" s="11" t="s">
        <v>210</v>
      </c>
      <c r="Z37" s="11" t="s">
        <v>211</v>
      </c>
      <c r="AA37" s="12" t="e">
        <f>+VLOOKUP($D37,[1]Sheet1!$A$1:$C$42,3,0)</f>
        <v>#N/A</v>
      </c>
      <c r="AB37" s="11" t="e">
        <f>+VLOOKUP($D37,[1]Sheet1!$A$1:$C$42,2,0)</f>
        <v>#N/A</v>
      </c>
      <c r="AC37" s="20" t="e">
        <f t="shared" si="0"/>
        <v>#REF!</v>
      </c>
      <c r="AD37" s="14" t="s">
        <v>37</v>
      </c>
      <c r="AE37" s="14">
        <v>25.133333333333333</v>
      </c>
      <c r="AF37" s="14" t="s">
        <v>45</v>
      </c>
      <c r="AG37" s="14">
        <v>25.133333333333333</v>
      </c>
      <c r="AH37" s="14" t="s">
        <v>45</v>
      </c>
      <c r="AI37" s="15" t="s">
        <v>221</v>
      </c>
      <c r="AJ37" s="15" t="s">
        <v>222</v>
      </c>
      <c r="AK37" s="16" t="s">
        <v>223</v>
      </c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</row>
    <row r="38" spans="1:54" ht="23.25" customHeight="1">
      <c r="A38" s="10" t="s">
        <v>191</v>
      </c>
      <c r="B38" s="10" t="s">
        <v>192</v>
      </c>
      <c r="C38" s="10" t="s">
        <v>193</v>
      </c>
      <c r="D38" s="10" t="s">
        <v>194</v>
      </c>
      <c r="E38" s="10" t="s">
        <v>34</v>
      </c>
      <c r="F38" s="10"/>
      <c r="G38" s="19" t="e">
        <f>+VLOOKUP($B38,#REF!,5,0)</f>
        <v>#REF!</v>
      </c>
      <c r="H38" s="19" t="e">
        <f>+VLOOKUP($B38,#REF!,6,0)</f>
        <v>#REF!</v>
      </c>
      <c r="I38" s="18" t="s">
        <v>195</v>
      </c>
      <c r="J38" s="12">
        <v>41015</v>
      </c>
      <c r="K38" s="11"/>
      <c r="L38" s="12">
        <v>41194</v>
      </c>
      <c r="M38" s="11" t="s">
        <v>196</v>
      </c>
      <c r="N38" s="11" t="s">
        <v>197</v>
      </c>
      <c r="O38" s="11"/>
      <c r="P38" s="11"/>
      <c r="Q38" s="11" t="s">
        <v>198</v>
      </c>
      <c r="R38" s="11"/>
      <c r="S38" s="11"/>
      <c r="T38" s="11"/>
      <c r="U38" s="11"/>
      <c r="V38" s="11"/>
      <c r="W38" s="11"/>
      <c r="X38" s="11"/>
      <c r="Y38" s="11" t="s">
        <v>199</v>
      </c>
      <c r="Z38" s="11" t="s">
        <v>200</v>
      </c>
      <c r="AA38" s="12"/>
      <c r="AB38" s="11"/>
      <c r="AC38" s="20" t="e">
        <f t="shared" si="0"/>
        <v>#REF!</v>
      </c>
      <c r="AD38" s="14" t="s">
        <v>37</v>
      </c>
      <c r="AE38" s="14">
        <v>8.4</v>
      </c>
      <c r="AF38" s="14" t="s">
        <v>136</v>
      </c>
      <c r="AG38" s="14">
        <v>8.4</v>
      </c>
      <c r="AH38" s="14" t="s">
        <v>136</v>
      </c>
      <c r="AI38" s="15" t="s">
        <v>201</v>
      </c>
      <c r="AJ38" s="15" t="s">
        <v>202</v>
      </c>
      <c r="AK38" s="16" t="s">
        <v>203</v>
      </c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</row>
    <row r="39" spans="1:54" ht="23.25" customHeight="1">
      <c r="A39" s="10" t="s">
        <v>224</v>
      </c>
      <c r="B39" s="10" t="s">
        <v>225</v>
      </c>
      <c r="C39" s="10" t="s">
        <v>226</v>
      </c>
      <c r="D39" s="10" t="s">
        <v>227</v>
      </c>
      <c r="E39" s="10" t="s">
        <v>228</v>
      </c>
      <c r="F39" s="10"/>
      <c r="G39" s="19" t="s">
        <v>120</v>
      </c>
      <c r="H39" s="19" t="s">
        <v>120</v>
      </c>
      <c r="I39" s="18" t="s">
        <v>229</v>
      </c>
      <c r="J39" s="12">
        <v>41001</v>
      </c>
      <c r="K39" s="11"/>
      <c r="L39" s="12">
        <v>41218</v>
      </c>
      <c r="M39" s="11" t="s">
        <v>153</v>
      </c>
      <c r="N39" s="11" t="e">
        <v>#N/A</v>
      </c>
      <c r="O39" s="11"/>
      <c r="P39" s="11"/>
      <c r="Q39" s="11" t="s">
        <v>209</v>
      </c>
      <c r="R39" s="11"/>
      <c r="S39" s="11"/>
      <c r="T39" s="11"/>
      <c r="U39" s="11"/>
      <c r="V39" s="11"/>
      <c r="W39" s="11"/>
      <c r="X39" s="11"/>
      <c r="Y39" s="11" t="s">
        <v>230</v>
      </c>
      <c r="Z39" s="11" t="s">
        <v>211</v>
      </c>
      <c r="AA39" s="12" t="e">
        <f>+VLOOKUP($D39,[1]Sheet1!$A$1:$C$42,3,0)</f>
        <v>#N/A</v>
      </c>
      <c r="AB39" s="11" t="e">
        <f>+VLOOKUP($D39,[1]Sheet1!$A$1:$C$42,2,0)</f>
        <v>#N/A</v>
      </c>
      <c r="AC39" s="20" t="e">
        <f t="shared" si="0"/>
        <v>#REF!</v>
      </c>
      <c r="AD39" s="14" t="s">
        <v>37</v>
      </c>
      <c r="AE39" s="14">
        <v>8.8666666666666671</v>
      </c>
      <c r="AF39" s="14" t="s">
        <v>136</v>
      </c>
      <c r="AG39" s="14">
        <v>8.8666666666666671</v>
      </c>
      <c r="AH39" s="14" t="s">
        <v>136</v>
      </c>
      <c r="AI39" s="15"/>
      <c r="AJ39" s="15" t="s">
        <v>231</v>
      </c>
      <c r="AK39" s="16" t="s">
        <v>232</v>
      </c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</row>
    <row r="40" spans="1:54" ht="23.25" customHeight="1">
      <c r="A40" s="10" t="s">
        <v>233</v>
      </c>
      <c r="B40" s="10" t="s">
        <v>234</v>
      </c>
      <c r="C40" s="10" t="s">
        <v>193</v>
      </c>
      <c r="D40" s="10" t="s">
        <v>235</v>
      </c>
      <c r="E40" s="10" t="s">
        <v>236</v>
      </c>
      <c r="F40" s="10"/>
      <c r="G40" s="19" t="s">
        <v>237</v>
      </c>
      <c r="H40" s="19" t="s">
        <v>238</v>
      </c>
      <c r="I40" s="18" t="s">
        <v>239</v>
      </c>
      <c r="J40" s="12">
        <v>40639</v>
      </c>
      <c r="K40" s="11" t="s">
        <v>53</v>
      </c>
      <c r="L40" s="12">
        <v>41236</v>
      </c>
      <c r="M40" s="11" t="s">
        <v>153</v>
      </c>
      <c r="N40" s="11" t="s">
        <v>240</v>
      </c>
      <c r="O40" s="21" t="s">
        <v>241</v>
      </c>
      <c r="P40" s="21"/>
      <c r="Q40" s="11" t="s">
        <v>209</v>
      </c>
      <c r="R40" s="11"/>
      <c r="S40" s="11"/>
      <c r="T40" s="11"/>
      <c r="U40" s="11"/>
      <c r="V40" s="11"/>
      <c r="W40" s="11"/>
      <c r="X40" s="11"/>
      <c r="Y40" s="11" t="s">
        <v>230</v>
      </c>
      <c r="Z40" s="11" t="s">
        <v>200</v>
      </c>
      <c r="AA40" s="12"/>
      <c r="AB40" s="11"/>
      <c r="AC40" s="9"/>
      <c r="AD40" s="9"/>
      <c r="AE40" s="9"/>
      <c r="AF40" s="9"/>
      <c r="AG40" s="9"/>
      <c r="AH40" s="9"/>
      <c r="AI40" s="15" t="s">
        <v>242</v>
      </c>
      <c r="AJ40" s="15" t="s">
        <v>243</v>
      </c>
      <c r="AK40" s="16" t="s">
        <v>244</v>
      </c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</row>
    <row r="41" spans="1:54" ht="23.25" customHeight="1">
      <c r="A41" s="10" t="s">
        <v>109</v>
      </c>
      <c r="B41" s="10" t="s">
        <v>245</v>
      </c>
      <c r="C41" s="10" t="s">
        <v>193</v>
      </c>
      <c r="D41" s="10" t="s">
        <v>246</v>
      </c>
      <c r="E41" s="10" t="s">
        <v>139</v>
      </c>
      <c r="F41" s="10"/>
      <c r="G41" s="19" t="s">
        <v>247</v>
      </c>
      <c r="H41" s="19" t="s">
        <v>247</v>
      </c>
      <c r="I41" s="18" t="s">
        <v>248</v>
      </c>
      <c r="J41" s="12">
        <v>39479</v>
      </c>
      <c r="K41" s="9"/>
      <c r="L41" s="12">
        <v>41243</v>
      </c>
      <c r="M41" s="11" t="s">
        <v>196</v>
      </c>
      <c r="N41" s="11" t="s">
        <v>249</v>
      </c>
      <c r="O41" s="21" t="s">
        <v>250</v>
      </c>
      <c r="P41" s="21"/>
      <c r="Q41" s="11" t="s">
        <v>198</v>
      </c>
      <c r="R41" s="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9"/>
      <c r="AD41" s="9"/>
      <c r="AE41" s="9"/>
      <c r="AF41" s="9"/>
      <c r="AG41" s="9"/>
      <c r="AH41" s="9"/>
      <c r="AI41" s="15"/>
      <c r="AJ41" s="15"/>
      <c r="AK41" s="16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</row>
    <row r="42" spans="1:54" ht="23.25" customHeight="1">
      <c r="A42" s="10" t="s">
        <v>204</v>
      </c>
      <c r="B42" s="10" t="s">
        <v>251</v>
      </c>
      <c r="C42" s="10" t="s">
        <v>193</v>
      </c>
      <c r="D42" s="10" t="s">
        <v>252</v>
      </c>
      <c r="E42" s="10"/>
      <c r="F42" s="10"/>
      <c r="G42" s="19" t="s">
        <v>247</v>
      </c>
      <c r="H42" s="19" t="s">
        <v>253</v>
      </c>
      <c r="I42" s="18" t="s">
        <v>254</v>
      </c>
      <c r="J42" s="12">
        <v>40878</v>
      </c>
      <c r="K42" s="11"/>
      <c r="L42" s="12">
        <v>41264</v>
      </c>
      <c r="M42" s="11" t="s">
        <v>153</v>
      </c>
      <c r="N42" s="11" t="s">
        <v>255</v>
      </c>
      <c r="O42" s="21">
        <v>0</v>
      </c>
      <c r="P42" s="21"/>
      <c r="Q42" s="11" t="s">
        <v>209</v>
      </c>
      <c r="R42" s="11"/>
      <c r="S42" s="11"/>
      <c r="T42" s="11"/>
      <c r="U42" s="11"/>
      <c r="V42" s="11"/>
      <c r="W42" s="11"/>
      <c r="X42" s="11"/>
      <c r="Y42" s="11" t="s">
        <v>210</v>
      </c>
      <c r="Z42" s="11" t="s">
        <v>200</v>
      </c>
      <c r="AA42" s="12"/>
      <c r="AB42" s="11"/>
      <c r="AC42" s="11">
        <v>0</v>
      </c>
      <c r="AD42" s="21" t="str">
        <f t="shared" ref="AD42:AD105" si="1">(TRUNC(AC42/12))&amp;"년 "&amp;(ROUNDDOWN(MOD(AC42,12),0))&amp;"개월"</f>
        <v>0년 0개월</v>
      </c>
      <c r="AE42" s="14">
        <f ca="1">($AK$1-J42)/30</f>
        <v>174.53333333333333</v>
      </c>
      <c r="AF42" s="14" t="str">
        <f t="shared" ref="AF42:AF105" ca="1" si="2">(TRUNC(AE42/12))&amp;"년 "&amp;(ROUNDDOWN(MOD(AE42,12),0))&amp;"개월"</f>
        <v>14년 6개월</v>
      </c>
      <c r="AG42" s="21">
        <f t="shared" ref="AG42:AG105" ca="1" si="3">+AC42+AE42</f>
        <v>174.53333333333333</v>
      </c>
      <c r="AH42" s="14" t="str">
        <f t="shared" ref="AH42:AH105" ca="1" si="4">(TRUNC(AG42/12))&amp;"년 "&amp;(ROUNDDOWN(MOD(AG42,12),0))&amp;"개월"</f>
        <v>14년 6개월</v>
      </c>
      <c r="AI42" s="15" t="s">
        <v>256</v>
      </c>
      <c r="AJ42" s="15" t="s">
        <v>257</v>
      </c>
      <c r="AK42" s="16" t="s">
        <v>258</v>
      </c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</row>
    <row r="43" spans="1:54" ht="23.25" customHeight="1">
      <c r="A43" s="10" t="s">
        <v>112</v>
      </c>
      <c r="B43" s="10" t="s">
        <v>259</v>
      </c>
      <c r="C43" s="10" t="s">
        <v>193</v>
      </c>
      <c r="D43" s="10" t="s">
        <v>260</v>
      </c>
      <c r="E43" s="10" t="s">
        <v>44</v>
      </c>
      <c r="F43" s="10"/>
      <c r="G43" s="19" t="s">
        <v>247</v>
      </c>
      <c r="H43" s="19" t="s">
        <v>253</v>
      </c>
      <c r="I43" s="18" t="s">
        <v>261</v>
      </c>
      <c r="J43" s="12">
        <v>39611</v>
      </c>
      <c r="K43" s="11" t="s">
        <v>262</v>
      </c>
      <c r="L43" s="12"/>
      <c r="M43" s="11" t="s">
        <v>146</v>
      </c>
      <c r="N43" s="11" t="s">
        <v>263</v>
      </c>
      <c r="O43" s="21" t="s">
        <v>264</v>
      </c>
      <c r="P43" s="21"/>
      <c r="Q43" s="11" t="s">
        <v>265</v>
      </c>
      <c r="R43" s="11"/>
      <c r="S43" s="11"/>
      <c r="T43" s="11"/>
      <c r="U43" s="11"/>
      <c r="V43" s="11"/>
      <c r="W43" s="11"/>
      <c r="X43" s="11"/>
      <c r="Y43" s="11" t="s">
        <v>210</v>
      </c>
      <c r="Z43" s="11" t="s">
        <v>211</v>
      </c>
      <c r="AA43" s="12" t="e">
        <f>+VLOOKUP($D43,[1]Sheet1!$A$1:$C$42,3,0)</f>
        <v>#N/A</v>
      </c>
      <c r="AB43" s="11" t="e">
        <f>+VLOOKUP($D43,[1]Sheet1!$A$1:$C$42,2,0)</f>
        <v>#N/A</v>
      </c>
      <c r="AC43" s="11">
        <v>0</v>
      </c>
      <c r="AD43" s="21" t="str">
        <f t="shared" si="1"/>
        <v>0년 0개월</v>
      </c>
      <c r="AE43" s="14">
        <f ca="1">($AK$1-J43)/30</f>
        <v>216.76666666666668</v>
      </c>
      <c r="AF43" s="14" t="str">
        <f t="shared" ca="1" si="2"/>
        <v>18년 0개월</v>
      </c>
      <c r="AG43" s="21">
        <f t="shared" ca="1" si="3"/>
        <v>216.76666666666668</v>
      </c>
      <c r="AH43" s="14" t="str">
        <f t="shared" ca="1" si="4"/>
        <v>18년 0개월</v>
      </c>
      <c r="AI43" s="15" t="s">
        <v>266</v>
      </c>
      <c r="AJ43" s="15" t="s">
        <v>267</v>
      </c>
      <c r="AK43" s="16" t="s">
        <v>268</v>
      </c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</row>
    <row r="44" spans="1:54" ht="23.25" customHeight="1">
      <c r="A44" s="10" t="s">
        <v>100</v>
      </c>
      <c r="B44" s="10" t="s">
        <v>269</v>
      </c>
      <c r="C44" s="10" t="s">
        <v>193</v>
      </c>
      <c r="D44" s="10" t="s">
        <v>270</v>
      </c>
      <c r="E44" s="10" t="s">
        <v>88</v>
      </c>
      <c r="F44" s="10"/>
      <c r="G44" s="19" t="s">
        <v>237</v>
      </c>
      <c r="H44" s="19" t="s">
        <v>271</v>
      </c>
      <c r="I44" s="18" t="s">
        <v>272</v>
      </c>
      <c r="J44" s="12">
        <v>39338</v>
      </c>
      <c r="K44" s="11" t="s">
        <v>262</v>
      </c>
      <c r="L44" s="12">
        <v>41289</v>
      </c>
      <c r="M44" s="11" t="s">
        <v>153</v>
      </c>
      <c r="N44" s="11" t="s">
        <v>273</v>
      </c>
      <c r="O44" s="21" t="s">
        <v>274</v>
      </c>
      <c r="P44" s="21"/>
      <c r="Q44" s="11" t="s">
        <v>209</v>
      </c>
      <c r="R44" s="11"/>
      <c r="S44" s="11" t="s">
        <v>275</v>
      </c>
      <c r="T44" s="12">
        <v>37410</v>
      </c>
      <c r="U44" s="11" t="s">
        <v>275</v>
      </c>
      <c r="V44" s="12">
        <v>37410</v>
      </c>
      <c r="W44" s="12"/>
      <c r="X44" s="12"/>
      <c r="Y44" s="11" t="s">
        <v>276</v>
      </c>
      <c r="Z44" s="11" t="s">
        <v>211</v>
      </c>
      <c r="AA44" s="12" t="e">
        <f>+VLOOKUP($D44,[1]Sheet1!$A$1:$C$42,3,0)</f>
        <v>#N/A</v>
      </c>
      <c r="AB44" s="11" t="e">
        <f>+VLOOKUP($D44,[1]Sheet1!$A$1:$C$42,2,0)</f>
        <v>#N/A</v>
      </c>
      <c r="AC44" s="11">
        <v>0</v>
      </c>
      <c r="AD44" s="21" t="str">
        <f t="shared" si="1"/>
        <v>0년 0개월</v>
      </c>
      <c r="AE44" s="14">
        <f ca="1">($AK$1-J44)/30</f>
        <v>225.86666666666667</v>
      </c>
      <c r="AF44" s="14" t="str">
        <f t="shared" ca="1" si="2"/>
        <v>18년 9개월</v>
      </c>
      <c r="AG44" s="21">
        <f t="shared" ca="1" si="3"/>
        <v>225.86666666666667</v>
      </c>
      <c r="AH44" s="14" t="str">
        <f t="shared" ca="1" si="4"/>
        <v>18년 9개월</v>
      </c>
      <c r="AI44" s="15" t="s">
        <v>277</v>
      </c>
      <c r="AJ44" s="15" t="s">
        <v>278</v>
      </c>
      <c r="AK44" s="16" t="s">
        <v>279</v>
      </c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</row>
    <row r="45" spans="1:54" ht="23.25" customHeight="1">
      <c r="A45" s="10" t="s">
        <v>280</v>
      </c>
      <c r="B45" s="10" t="s">
        <v>281</v>
      </c>
      <c r="C45" s="10" t="s">
        <v>193</v>
      </c>
      <c r="D45" s="19" t="s">
        <v>282</v>
      </c>
      <c r="E45" s="19" t="s">
        <v>283</v>
      </c>
      <c r="F45" s="19"/>
      <c r="G45" s="19" t="s">
        <v>284</v>
      </c>
      <c r="H45" s="19" t="s">
        <v>285</v>
      </c>
      <c r="I45" s="18" t="s">
        <v>286</v>
      </c>
      <c r="J45" s="12">
        <v>41106</v>
      </c>
      <c r="K45" s="12"/>
      <c r="L45" s="12">
        <v>41333</v>
      </c>
      <c r="M45" s="11" t="s">
        <v>146</v>
      </c>
      <c r="N45" s="11" t="s">
        <v>287</v>
      </c>
      <c r="O45" s="21" t="s">
        <v>288</v>
      </c>
      <c r="P45" s="21"/>
      <c r="Q45" s="11" t="s">
        <v>265</v>
      </c>
      <c r="R45" s="11"/>
      <c r="S45" s="11"/>
      <c r="T45" s="11"/>
      <c r="U45" s="11"/>
      <c r="V45" s="11"/>
      <c r="W45" s="11"/>
      <c r="X45" s="11"/>
      <c r="Y45" s="11" t="s">
        <v>210</v>
      </c>
      <c r="Z45" s="11" t="s">
        <v>200</v>
      </c>
      <c r="AA45" s="12" t="e">
        <f>+VLOOKUP($D45,[1]Sheet1!$A$1:$C$42,3,0)</f>
        <v>#N/A</v>
      </c>
      <c r="AB45" s="11" t="e">
        <f>+VLOOKUP($D45,[1]Sheet1!$A$1:$C$42,2,0)</f>
        <v>#N/A</v>
      </c>
      <c r="AC45" s="14">
        <v>41</v>
      </c>
      <c r="AD45" s="21" t="str">
        <f t="shared" si="1"/>
        <v>3년 5개월</v>
      </c>
      <c r="AE45" s="14">
        <f>($AL$1-J45)/30</f>
        <v>-1370.2</v>
      </c>
      <c r="AF45" s="14" t="str">
        <f t="shared" si="2"/>
        <v>-114년 9개월</v>
      </c>
      <c r="AG45" s="21">
        <f t="shared" si="3"/>
        <v>-1329.2</v>
      </c>
      <c r="AH45" s="14" t="str">
        <f t="shared" si="4"/>
        <v>-110년 2개월</v>
      </c>
      <c r="AI45" s="15" t="s">
        <v>289</v>
      </c>
      <c r="AJ45" s="15" t="s">
        <v>290</v>
      </c>
      <c r="AK45" s="16" t="s">
        <v>291</v>
      </c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</row>
    <row r="46" spans="1:54" ht="23.25" customHeight="1">
      <c r="A46" s="10" t="s">
        <v>292</v>
      </c>
      <c r="B46" s="10" t="s">
        <v>293</v>
      </c>
      <c r="C46" s="10" t="s">
        <v>193</v>
      </c>
      <c r="D46" s="19" t="s">
        <v>294</v>
      </c>
      <c r="E46" s="19" t="s">
        <v>283</v>
      </c>
      <c r="F46" s="19"/>
      <c r="G46" s="19" t="s">
        <v>284</v>
      </c>
      <c r="H46" s="19" t="s">
        <v>285</v>
      </c>
      <c r="I46" s="18" t="s">
        <v>295</v>
      </c>
      <c r="J46" s="12">
        <v>41113</v>
      </c>
      <c r="K46" s="12"/>
      <c r="L46" s="12">
        <v>41333</v>
      </c>
      <c r="M46" s="11" t="s">
        <v>146</v>
      </c>
      <c r="N46" s="11" t="s">
        <v>296</v>
      </c>
      <c r="O46" s="21" t="s">
        <v>297</v>
      </c>
      <c r="P46" s="21"/>
      <c r="Q46" s="11" t="s">
        <v>265</v>
      </c>
      <c r="R46" s="11"/>
      <c r="S46" s="11"/>
      <c r="T46" s="11"/>
      <c r="U46" s="11"/>
      <c r="V46" s="11"/>
      <c r="W46" s="11"/>
      <c r="X46" s="11"/>
      <c r="Y46" s="11" t="s">
        <v>210</v>
      </c>
      <c r="Z46" s="11" t="s">
        <v>200</v>
      </c>
      <c r="AA46" s="12"/>
      <c r="AB46" s="11"/>
      <c r="AC46" s="14">
        <v>27</v>
      </c>
      <c r="AD46" s="21" t="str">
        <f t="shared" si="1"/>
        <v>2년 3개월</v>
      </c>
      <c r="AE46" s="14">
        <f ca="1">($AK$1-J46)/30</f>
        <v>166.7</v>
      </c>
      <c r="AF46" s="14" t="str">
        <f t="shared" ca="1" si="2"/>
        <v>13년 10개월</v>
      </c>
      <c r="AG46" s="21">
        <f t="shared" ca="1" si="3"/>
        <v>193.7</v>
      </c>
      <c r="AH46" s="14" t="str">
        <f t="shared" ca="1" si="4"/>
        <v>16년 1개월</v>
      </c>
      <c r="AI46" s="15" t="s">
        <v>298</v>
      </c>
      <c r="AJ46" s="15" t="s">
        <v>299</v>
      </c>
      <c r="AK46" s="16" t="s">
        <v>300</v>
      </c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</row>
    <row r="47" spans="1:54" ht="23.25" customHeight="1">
      <c r="A47" s="10" t="s">
        <v>301</v>
      </c>
      <c r="B47" s="10" t="s">
        <v>302</v>
      </c>
      <c r="C47" s="10" t="s">
        <v>193</v>
      </c>
      <c r="D47" s="19" t="s">
        <v>303</v>
      </c>
      <c r="E47" s="19" t="s">
        <v>304</v>
      </c>
      <c r="F47" s="19"/>
      <c r="G47" s="19" t="s">
        <v>305</v>
      </c>
      <c r="H47" s="19" t="s">
        <v>306</v>
      </c>
      <c r="I47" s="18" t="s">
        <v>307</v>
      </c>
      <c r="J47" s="12">
        <v>41134</v>
      </c>
      <c r="K47" s="12"/>
      <c r="L47" s="12">
        <v>41333</v>
      </c>
      <c r="M47" s="11" t="s">
        <v>146</v>
      </c>
      <c r="N47" s="11" t="s">
        <v>308</v>
      </c>
      <c r="O47" s="21" t="s">
        <v>309</v>
      </c>
      <c r="P47" s="21"/>
      <c r="Q47" s="11" t="s">
        <v>265</v>
      </c>
      <c r="R47" s="11"/>
      <c r="S47" s="11"/>
      <c r="T47" s="11"/>
      <c r="U47" s="11"/>
      <c r="V47" s="11"/>
      <c r="W47" s="11"/>
      <c r="X47" s="11"/>
      <c r="Y47" s="11" t="s">
        <v>210</v>
      </c>
      <c r="Z47" s="11" t="s">
        <v>200</v>
      </c>
      <c r="AA47" s="12"/>
      <c r="AB47" s="11"/>
      <c r="AC47" s="14">
        <v>57</v>
      </c>
      <c r="AD47" s="21" t="str">
        <f t="shared" si="1"/>
        <v>4년 9개월</v>
      </c>
      <c r="AE47" s="14">
        <f ca="1">($AK$1-J47)/30</f>
        <v>166</v>
      </c>
      <c r="AF47" s="14" t="str">
        <f t="shared" ca="1" si="2"/>
        <v>13년 10개월</v>
      </c>
      <c r="AG47" s="21">
        <f t="shared" ca="1" si="3"/>
        <v>223</v>
      </c>
      <c r="AH47" s="14" t="str">
        <f t="shared" ca="1" si="4"/>
        <v>18년 7개월</v>
      </c>
      <c r="AI47" s="15" t="s">
        <v>310</v>
      </c>
      <c r="AJ47" s="15" t="s">
        <v>311</v>
      </c>
      <c r="AK47" s="16" t="s">
        <v>312</v>
      </c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</row>
    <row r="48" spans="1:54" ht="23.25" customHeight="1">
      <c r="A48" s="22" t="s">
        <v>118</v>
      </c>
      <c r="B48" s="22" t="s">
        <v>313</v>
      </c>
      <c r="C48" s="22" t="s">
        <v>193</v>
      </c>
      <c r="D48" s="23" t="s">
        <v>314</v>
      </c>
      <c r="E48" s="23" t="s">
        <v>34</v>
      </c>
      <c r="F48" s="23"/>
      <c r="G48" s="23" t="s">
        <v>315</v>
      </c>
      <c r="H48" s="23" t="s">
        <v>316</v>
      </c>
      <c r="I48" s="24" t="s">
        <v>317</v>
      </c>
      <c r="J48" s="25">
        <v>39759</v>
      </c>
      <c r="K48" s="25">
        <v>40179</v>
      </c>
      <c r="L48" s="25">
        <v>41364</v>
      </c>
      <c r="M48" s="26" t="s">
        <v>196</v>
      </c>
      <c r="N48" s="26" t="s">
        <v>318</v>
      </c>
      <c r="O48" s="27" t="s">
        <v>319</v>
      </c>
      <c r="P48" s="27"/>
      <c r="Q48" s="26" t="s">
        <v>198</v>
      </c>
      <c r="R48" s="26"/>
      <c r="S48" s="26"/>
      <c r="T48" s="26"/>
      <c r="U48" s="26"/>
      <c r="V48" s="26"/>
      <c r="W48" s="26"/>
      <c r="X48" s="26"/>
      <c r="Y48" s="26" t="s">
        <v>199</v>
      </c>
      <c r="Z48" s="26" t="s">
        <v>211</v>
      </c>
      <c r="AA48" s="25" t="e">
        <f>+VLOOKUP($D48,[1]Sheet1!$A$1:$C$42,3,0)</f>
        <v>#N/A</v>
      </c>
      <c r="AB48" s="26" t="e">
        <f>+VLOOKUP($D48,[1]Sheet1!$A$1:$C$42,2,0)</f>
        <v>#N/A</v>
      </c>
      <c r="AC48" s="28">
        <v>90</v>
      </c>
      <c r="AD48" s="27" t="str">
        <f t="shared" si="1"/>
        <v>7년 6개월</v>
      </c>
      <c r="AE48" s="29">
        <f ca="1">($AK$1-J48)/30</f>
        <v>211.83333333333334</v>
      </c>
      <c r="AF48" s="28" t="str">
        <f t="shared" ca="1" si="2"/>
        <v>17년 7개월</v>
      </c>
      <c r="AG48" s="29">
        <f t="shared" ca="1" si="3"/>
        <v>301.83333333333337</v>
      </c>
      <c r="AH48" s="28" t="str">
        <f t="shared" ca="1" si="4"/>
        <v>25년 1개월</v>
      </c>
      <c r="AI48" s="30" t="s">
        <v>320</v>
      </c>
      <c r="AJ48" s="30" t="s">
        <v>321</v>
      </c>
      <c r="AK48" s="31" t="s">
        <v>322</v>
      </c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</row>
    <row r="49" spans="1:54" ht="23.25" customHeight="1">
      <c r="A49" s="22" t="s">
        <v>42</v>
      </c>
      <c r="B49" s="22" t="s">
        <v>323</v>
      </c>
      <c r="C49" s="22" t="s">
        <v>193</v>
      </c>
      <c r="D49" s="23" t="s">
        <v>324</v>
      </c>
      <c r="E49" s="23" t="s">
        <v>34</v>
      </c>
      <c r="F49" s="23"/>
      <c r="G49" s="23" t="s">
        <v>315</v>
      </c>
      <c r="H49" s="23" t="s">
        <v>325</v>
      </c>
      <c r="I49" s="24" t="s">
        <v>326</v>
      </c>
      <c r="J49" s="25">
        <v>37257</v>
      </c>
      <c r="K49" s="25">
        <v>40725</v>
      </c>
      <c r="L49" s="25">
        <v>41364</v>
      </c>
      <c r="M49" s="26" t="s">
        <v>153</v>
      </c>
      <c r="N49" s="26" t="s">
        <v>327</v>
      </c>
      <c r="O49" s="27">
        <v>0</v>
      </c>
      <c r="P49" s="27"/>
      <c r="Q49" s="26" t="s">
        <v>209</v>
      </c>
      <c r="R49" s="26"/>
      <c r="S49" s="26"/>
      <c r="T49" s="26"/>
      <c r="U49" s="26"/>
      <c r="V49" s="26"/>
      <c r="W49" s="26"/>
      <c r="X49" s="26"/>
      <c r="Y49" s="26" t="s">
        <v>230</v>
      </c>
      <c r="Z49" s="26" t="s">
        <v>211</v>
      </c>
      <c r="AA49" s="25" t="e">
        <f>+VLOOKUP($D49,[1]Sheet1!$A$1:$C$42,3,0)</f>
        <v>#N/A</v>
      </c>
      <c r="AB49" s="26" t="e">
        <f>+VLOOKUP($D49,[1]Sheet1!$A$1:$C$42,2,0)</f>
        <v>#N/A</v>
      </c>
      <c r="AC49" s="28">
        <v>3</v>
      </c>
      <c r="AD49" s="27" t="str">
        <f t="shared" si="1"/>
        <v>0년 3개월</v>
      </c>
      <c r="AE49" s="29">
        <f ca="1">($AK$1-J49)/30</f>
        <v>295.23333333333335</v>
      </c>
      <c r="AF49" s="28" t="str">
        <f t="shared" ca="1" si="2"/>
        <v>24년 7개월</v>
      </c>
      <c r="AG49" s="29">
        <f t="shared" ca="1" si="3"/>
        <v>298.23333333333335</v>
      </c>
      <c r="AH49" s="28" t="str">
        <f t="shared" ca="1" si="4"/>
        <v>24년 10개월</v>
      </c>
      <c r="AI49" s="30" t="s">
        <v>328</v>
      </c>
      <c r="AJ49" s="30" t="s">
        <v>329</v>
      </c>
      <c r="AK49" s="31" t="s">
        <v>330</v>
      </c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</row>
    <row r="50" spans="1:54" ht="23.25" customHeight="1">
      <c r="A50" s="33" t="s">
        <v>331</v>
      </c>
      <c r="B50" s="33" t="s">
        <v>332</v>
      </c>
      <c r="C50" s="33" t="s">
        <v>193</v>
      </c>
      <c r="D50" s="34" t="s">
        <v>333</v>
      </c>
      <c r="E50" s="34" t="s">
        <v>51</v>
      </c>
      <c r="F50" s="34"/>
      <c r="G50" s="34" t="s">
        <v>334</v>
      </c>
      <c r="H50" s="34" t="s">
        <v>334</v>
      </c>
      <c r="I50" s="35" t="s">
        <v>335</v>
      </c>
      <c r="J50" s="36">
        <v>40945</v>
      </c>
      <c r="K50" s="36"/>
      <c r="L50" s="36">
        <v>41364</v>
      </c>
      <c r="M50" s="37" t="s">
        <v>146</v>
      </c>
      <c r="N50" s="37" t="s">
        <v>336</v>
      </c>
      <c r="O50" s="38" t="s">
        <v>337</v>
      </c>
      <c r="P50" s="38"/>
      <c r="Q50" s="37" t="s">
        <v>265</v>
      </c>
      <c r="R50" s="37"/>
      <c r="S50" s="37"/>
      <c r="T50" s="37"/>
      <c r="U50" s="37"/>
      <c r="V50" s="37"/>
      <c r="W50" s="37"/>
      <c r="X50" s="37"/>
      <c r="Y50" s="37" t="s">
        <v>210</v>
      </c>
      <c r="Z50" s="37" t="s">
        <v>200</v>
      </c>
      <c r="AA50" s="36"/>
      <c r="AB50" s="37"/>
      <c r="AC50" s="39">
        <v>0</v>
      </c>
      <c r="AD50" s="40" t="str">
        <f t="shared" si="1"/>
        <v>0년 0개월</v>
      </c>
      <c r="AE50" s="41">
        <f ca="1">($AK$1-J50)/30</f>
        <v>172.3</v>
      </c>
      <c r="AF50" s="42" t="str">
        <f t="shared" ca="1" si="2"/>
        <v>14년 4개월</v>
      </c>
      <c r="AG50" s="41">
        <f t="shared" ca="1" si="3"/>
        <v>172.3</v>
      </c>
      <c r="AH50" s="42" t="str">
        <f t="shared" ca="1" si="4"/>
        <v>14년 4개월</v>
      </c>
      <c r="AI50" s="43" t="s">
        <v>338</v>
      </c>
      <c r="AJ50" s="43" t="s">
        <v>339</v>
      </c>
      <c r="AK50" s="44" t="s">
        <v>340</v>
      </c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</row>
    <row r="51" spans="1:54" ht="23.25" customHeight="1">
      <c r="A51" s="33" t="s">
        <v>341</v>
      </c>
      <c r="B51" s="33" t="s">
        <v>342</v>
      </c>
      <c r="C51" s="33" t="s">
        <v>226</v>
      </c>
      <c r="D51" s="34" t="s">
        <v>343</v>
      </c>
      <c r="E51" s="34" t="s">
        <v>88</v>
      </c>
      <c r="F51" s="34"/>
      <c r="G51" s="34" t="s">
        <v>120</v>
      </c>
      <c r="H51" s="34" t="s">
        <v>120</v>
      </c>
      <c r="I51" s="35" t="s">
        <v>344</v>
      </c>
      <c r="J51" s="36">
        <v>40854</v>
      </c>
      <c r="K51" s="37"/>
      <c r="L51" s="36">
        <v>41341</v>
      </c>
      <c r="M51" s="37" t="s">
        <v>153</v>
      </c>
      <c r="N51" s="37" t="s">
        <v>345</v>
      </c>
      <c r="O51" s="38" t="s">
        <v>346</v>
      </c>
      <c r="P51" s="38"/>
      <c r="Q51" s="37" t="s">
        <v>209</v>
      </c>
      <c r="R51" s="37"/>
      <c r="S51" s="37"/>
      <c r="T51" s="37"/>
      <c r="U51" s="37"/>
      <c r="V51" s="37"/>
      <c r="W51" s="37"/>
      <c r="X51" s="37"/>
      <c r="Y51" s="37"/>
      <c r="Z51" s="37" t="s">
        <v>200</v>
      </c>
      <c r="AA51" s="36"/>
      <c r="AB51" s="37"/>
      <c r="AC51" s="39">
        <v>91</v>
      </c>
      <c r="AD51" s="40" t="str">
        <f t="shared" si="1"/>
        <v>7년 7개월</v>
      </c>
      <c r="AE51" s="41">
        <f>($AL$1-J51)/30</f>
        <v>-1361.8</v>
      </c>
      <c r="AF51" s="42" t="str">
        <f t="shared" si="2"/>
        <v>-113년 6개월</v>
      </c>
      <c r="AG51" s="41">
        <f t="shared" si="3"/>
        <v>-1270.8</v>
      </c>
      <c r="AH51" s="42" t="str">
        <f t="shared" si="4"/>
        <v>-105년 1개월</v>
      </c>
      <c r="AI51" s="43" t="s">
        <v>347</v>
      </c>
      <c r="AJ51" s="43" t="s">
        <v>348</v>
      </c>
      <c r="AK51" s="45" t="s">
        <v>349</v>
      </c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</row>
    <row r="52" spans="1:54" ht="23.25" customHeight="1">
      <c r="A52" s="33" t="s">
        <v>350</v>
      </c>
      <c r="B52" s="33" t="s">
        <v>351</v>
      </c>
      <c r="C52" s="33" t="s">
        <v>193</v>
      </c>
      <c r="D52" s="34" t="s">
        <v>352</v>
      </c>
      <c r="E52" s="34" t="s">
        <v>353</v>
      </c>
      <c r="F52" s="34"/>
      <c r="G52" s="34" t="s">
        <v>284</v>
      </c>
      <c r="H52" s="34" t="s">
        <v>285</v>
      </c>
      <c r="I52" s="35" t="s">
        <v>354</v>
      </c>
      <c r="J52" s="36">
        <v>41001</v>
      </c>
      <c r="K52" s="44"/>
      <c r="L52" s="36">
        <v>41369</v>
      </c>
      <c r="M52" s="37" t="s">
        <v>153</v>
      </c>
      <c r="N52" s="37" t="s">
        <v>355</v>
      </c>
      <c r="O52" s="38" t="s">
        <v>319</v>
      </c>
      <c r="P52" s="38"/>
      <c r="Q52" s="37" t="s">
        <v>209</v>
      </c>
      <c r="R52" s="36">
        <v>39505</v>
      </c>
      <c r="S52" s="37" t="s">
        <v>275</v>
      </c>
      <c r="T52" s="36">
        <v>39314</v>
      </c>
      <c r="U52" s="37" t="s">
        <v>275</v>
      </c>
      <c r="V52" s="36">
        <v>39314</v>
      </c>
      <c r="W52" s="36"/>
      <c r="X52" s="36"/>
      <c r="Y52" s="37" t="s">
        <v>276</v>
      </c>
      <c r="Z52" s="37" t="s">
        <v>200</v>
      </c>
      <c r="AA52" s="36"/>
      <c r="AB52" s="37"/>
      <c r="AC52" s="39">
        <v>105</v>
      </c>
      <c r="AD52" s="40" t="str">
        <f t="shared" si="1"/>
        <v>8년 9개월</v>
      </c>
      <c r="AE52" s="41">
        <f ca="1">(재직자!$AL$1-J52)/30</f>
        <v>170.43333333333334</v>
      </c>
      <c r="AF52" s="42" t="str">
        <f t="shared" ca="1" si="2"/>
        <v>14년 2개월</v>
      </c>
      <c r="AG52" s="41">
        <f t="shared" ca="1" si="3"/>
        <v>275.43333333333334</v>
      </c>
      <c r="AH52" s="42" t="str">
        <f t="shared" ca="1" si="4"/>
        <v>22년 11개월</v>
      </c>
      <c r="AI52" s="43" t="s">
        <v>356</v>
      </c>
      <c r="AJ52" s="43" t="s">
        <v>357</v>
      </c>
      <c r="AK52" s="44" t="s">
        <v>358</v>
      </c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</row>
    <row r="53" spans="1:54" ht="23.25" customHeight="1">
      <c r="A53" s="33" t="s">
        <v>359</v>
      </c>
      <c r="B53" s="37">
        <v>130302</v>
      </c>
      <c r="C53" s="37" t="s">
        <v>193</v>
      </c>
      <c r="D53" s="37" t="s">
        <v>360</v>
      </c>
      <c r="E53" s="37" t="s">
        <v>228</v>
      </c>
      <c r="F53" s="37"/>
      <c r="G53" s="37" t="s">
        <v>361</v>
      </c>
      <c r="H53" s="37" t="s">
        <v>361</v>
      </c>
      <c r="I53" s="37" t="s">
        <v>362</v>
      </c>
      <c r="J53" s="36">
        <v>41358</v>
      </c>
      <c r="K53" s="44"/>
      <c r="L53" s="36">
        <v>41375</v>
      </c>
      <c r="M53" s="37" t="s">
        <v>153</v>
      </c>
      <c r="N53" s="37" t="s">
        <v>363</v>
      </c>
      <c r="O53" s="37" t="s">
        <v>364</v>
      </c>
      <c r="P53" s="37"/>
      <c r="Q53" s="37" t="s">
        <v>209</v>
      </c>
      <c r="R53" s="36">
        <v>34390</v>
      </c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9">
        <v>192</v>
      </c>
      <c r="AD53" s="46" t="str">
        <f t="shared" si="1"/>
        <v>16년 0개월</v>
      </c>
      <c r="AE53" s="41">
        <f ca="1">(재직자!$AL$1-J53)/30</f>
        <v>158.53333333333333</v>
      </c>
      <c r="AF53" s="46" t="str">
        <f t="shared" ca="1" si="2"/>
        <v>13년 2개월</v>
      </c>
      <c r="AG53" s="41">
        <f t="shared" ca="1" si="3"/>
        <v>350.5333333333333</v>
      </c>
      <c r="AH53" s="46" t="str">
        <f t="shared" ca="1" si="4"/>
        <v>29년 2개월</v>
      </c>
      <c r="AI53" s="44" t="s">
        <v>365</v>
      </c>
      <c r="AJ53" s="44" t="s">
        <v>366</v>
      </c>
      <c r="AK53" s="47" t="s">
        <v>367</v>
      </c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</row>
    <row r="54" spans="1:54" ht="23.25" customHeight="1">
      <c r="A54" s="33" t="s">
        <v>155</v>
      </c>
      <c r="B54" s="33" t="s">
        <v>368</v>
      </c>
      <c r="C54" s="33" t="s">
        <v>193</v>
      </c>
      <c r="D54" s="34" t="s">
        <v>369</v>
      </c>
      <c r="E54" s="34" t="s">
        <v>44</v>
      </c>
      <c r="F54" s="34"/>
      <c r="G54" s="34" t="s">
        <v>315</v>
      </c>
      <c r="H54" s="34" t="s">
        <v>370</v>
      </c>
      <c r="I54" s="35" t="s">
        <v>371</v>
      </c>
      <c r="J54" s="36">
        <v>40360</v>
      </c>
      <c r="K54" s="36">
        <v>40725</v>
      </c>
      <c r="L54" s="36">
        <v>41394</v>
      </c>
      <c r="M54" s="37" t="s">
        <v>153</v>
      </c>
      <c r="N54" s="37" t="s">
        <v>372</v>
      </c>
      <c r="O54" s="38" t="s">
        <v>373</v>
      </c>
      <c r="P54" s="38"/>
      <c r="Q54" s="37" t="s">
        <v>209</v>
      </c>
      <c r="R54" s="37"/>
      <c r="S54" s="37"/>
      <c r="T54" s="37"/>
      <c r="U54" s="37"/>
      <c r="V54" s="37"/>
      <c r="W54" s="37"/>
      <c r="X54" s="37"/>
      <c r="Y54" s="37" t="s">
        <v>210</v>
      </c>
      <c r="Z54" s="37" t="s">
        <v>211</v>
      </c>
      <c r="AA54" s="36" t="e">
        <f>+VLOOKUP($D54,[1]Sheet1!$A$1:$C$42,3,0)</f>
        <v>#N/A</v>
      </c>
      <c r="AB54" s="37" t="e">
        <f>+VLOOKUP($D54,[1]Sheet1!$A$1:$C$42,2,0)</f>
        <v>#N/A</v>
      </c>
      <c r="AC54" s="39">
        <v>28</v>
      </c>
      <c r="AD54" s="40" t="str">
        <f t="shared" si="1"/>
        <v>2년 4개월</v>
      </c>
      <c r="AE54" s="41">
        <f ca="1">($AK$1-J54)/30</f>
        <v>191.8</v>
      </c>
      <c r="AF54" s="42" t="str">
        <f t="shared" ca="1" si="2"/>
        <v>15년 11개월</v>
      </c>
      <c r="AG54" s="41">
        <f t="shared" ca="1" si="3"/>
        <v>219.8</v>
      </c>
      <c r="AH54" s="42" t="str">
        <f t="shared" ca="1" si="4"/>
        <v>18년 3개월</v>
      </c>
      <c r="AI54" s="43" t="s">
        <v>374</v>
      </c>
      <c r="AJ54" s="33" t="s">
        <v>375</v>
      </c>
      <c r="AK54" s="44" t="s">
        <v>376</v>
      </c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</row>
    <row r="55" spans="1:54" ht="23.25" customHeight="1">
      <c r="A55" s="33" t="s">
        <v>377</v>
      </c>
      <c r="B55" s="33" t="s">
        <v>378</v>
      </c>
      <c r="C55" s="33" t="s">
        <v>193</v>
      </c>
      <c r="D55" s="34" t="s">
        <v>379</v>
      </c>
      <c r="E55" s="34" t="s">
        <v>51</v>
      </c>
      <c r="F55" s="34"/>
      <c r="G55" s="34" t="s">
        <v>334</v>
      </c>
      <c r="H55" s="34" t="s">
        <v>334</v>
      </c>
      <c r="I55" s="35" t="s">
        <v>380</v>
      </c>
      <c r="J55" s="36">
        <v>40953</v>
      </c>
      <c r="K55" s="36"/>
      <c r="L55" s="36">
        <v>41394</v>
      </c>
      <c r="M55" s="37" t="s">
        <v>146</v>
      </c>
      <c r="N55" s="37" t="s">
        <v>381</v>
      </c>
      <c r="O55" s="38" t="s">
        <v>337</v>
      </c>
      <c r="P55" s="38"/>
      <c r="Q55" s="37" t="s">
        <v>265</v>
      </c>
      <c r="R55" s="36">
        <v>40949</v>
      </c>
      <c r="S55" s="37"/>
      <c r="T55" s="37"/>
      <c r="U55" s="37"/>
      <c r="V55" s="37"/>
      <c r="W55" s="37"/>
      <c r="X55" s="37"/>
      <c r="Y55" s="37" t="s">
        <v>210</v>
      </c>
      <c r="Z55" s="37" t="s">
        <v>200</v>
      </c>
      <c r="AA55" s="36"/>
      <c r="AB55" s="37"/>
      <c r="AC55" s="39">
        <v>0</v>
      </c>
      <c r="AD55" s="40" t="str">
        <f t="shared" si="1"/>
        <v>0년 0개월</v>
      </c>
      <c r="AE55" s="41">
        <f ca="1">($AK$1-J55)/30</f>
        <v>172.03333333333333</v>
      </c>
      <c r="AF55" s="42" t="str">
        <f t="shared" ca="1" si="2"/>
        <v>14년 4개월</v>
      </c>
      <c r="AG55" s="41">
        <f t="shared" ca="1" si="3"/>
        <v>172.03333333333333</v>
      </c>
      <c r="AH55" s="42" t="str">
        <f t="shared" ca="1" si="4"/>
        <v>14년 4개월</v>
      </c>
      <c r="AI55" s="43" t="s">
        <v>382</v>
      </c>
      <c r="AJ55" s="33" t="s">
        <v>383</v>
      </c>
      <c r="AK55" s="44" t="s">
        <v>384</v>
      </c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</row>
    <row r="56" spans="1:54" ht="23.25" customHeight="1">
      <c r="A56" s="33" t="s">
        <v>118</v>
      </c>
      <c r="B56" s="33" t="s">
        <v>385</v>
      </c>
      <c r="C56" s="33" t="s">
        <v>193</v>
      </c>
      <c r="D56" s="34" t="s">
        <v>386</v>
      </c>
      <c r="E56" s="34" t="s">
        <v>34</v>
      </c>
      <c r="F56" s="34"/>
      <c r="G56" s="34" t="s">
        <v>334</v>
      </c>
      <c r="H56" s="34" t="s">
        <v>334</v>
      </c>
      <c r="I56" s="35" t="s">
        <v>387</v>
      </c>
      <c r="J56" s="36">
        <v>40026</v>
      </c>
      <c r="K56" s="36">
        <v>40544</v>
      </c>
      <c r="L56" s="36">
        <v>41425</v>
      </c>
      <c r="M56" s="37" t="s">
        <v>153</v>
      </c>
      <c r="N56" s="37" t="s">
        <v>388</v>
      </c>
      <c r="O56" s="38" t="s">
        <v>389</v>
      </c>
      <c r="P56" s="38"/>
      <c r="Q56" s="37" t="s">
        <v>265</v>
      </c>
      <c r="R56" s="36">
        <v>37308</v>
      </c>
      <c r="S56" s="37"/>
      <c r="T56" s="37"/>
      <c r="U56" s="37"/>
      <c r="V56" s="37"/>
      <c r="W56" s="37"/>
      <c r="X56" s="37"/>
      <c r="Y56" s="37" t="s">
        <v>230</v>
      </c>
      <c r="Z56" s="37" t="s">
        <v>211</v>
      </c>
      <c r="AA56" s="36" t="e">
        <f>+VLOOKUP($D56,[1]Sheet1!$A$1:$C$42,3,0)</f>
        <v>#N/A</v>
      </c>
      <c r="AB56" s="37" t="e">
        <f>+VLOOKUP($D56,[1]Sheet1!$A$1:$C$42,2,0)</f>
        <v>#N/A</v>
      </c>
      <c r="AC56" s="39">
        <v>72</v>
      </c>
      <c r="AD56" s="40" t="str">
        <f t="shared" si="1"/>
        <v>6년 0개월</v>
      </c>
      <c r="AE56" s="39">
        <f ca="1">(재직자!$AL$1-J56)/30</f>
        <v>202.93333333333334</v>
      </c>
      <c r="AF56" s="42" t="str">
        <f t="shared" ca="1" si="2"/>
        <v>16년 10개월</v>
      </c>
      <c r="AG56" s="39">
        <f t="shared" ca="1" si="3"/>
        <v>274.93333333333334</v>
      </c>
      <c r="AH56" s="42" t="str">
        <f t="shared" ca="1" si="4"/>
        <v>22년 10개월</v>
      </c>
      <c r="AI56" s="43" t="s">
        <v>390</v>
      </c>
      <c r="AJ56" s="33" t="s">
        <v>391</v>
      </c>
      <c r="AK56" s="44" t="s">
        <v>392</v>
      </c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</row>
    <row r="57" spans="1:54" ht="23.25" customHeight="1">
      <c r="A57" s="33" t="s">
        <v>137</v>
      </c>
      <c r="B57" s="33" t="s">
        <v>393</v>
      </c>
      <c r="C57" s="33" t="s">
        <v>193</v>
      </c>
      <c r="D57" s="34" t="s">
        <v>394</v>
      </c>
      <c r="E57" s="34" t="s">
        <v>34</v>
      </c>
      <c r="F57" s="34"/>
      <c r="G57" s="34" t="s">
        <v>395</v>
      </c>
      <c r="H57" s="34" t="s">
        <v>395</v>
      </c>
      <c r="I57" s="35" t="s">
        <v>396</v>
      </c>
      <c r="J57" s="36">
        <v>40317</v>
      </c>
      <c r="K57" s="36">
        <v>40909</v>
      </c>
      <c r="L57" s="36">
        <v>41425</v>
      </c>
      <c r="M57" s="37" t="s">
        <v>146</v>
      </c>
      <c r="N57" s="37" t="s">
        <v>397</v>
      </c>
      <c r="O57" s="38" t="s">
        <v>398</v>
      </c>
      <c r="P57" s="38"/>
      <c r="Q57" s="37" t="s">
        <v>265</v>
      </c>
      <c r="R57" s="36">
        <v>35091</v>
      </c>
      <c r="S57" s="37"/>
      <c r="T57" s="37"/>
      <c r="U57" s="37"/>
      <c r="V57" s="37"/>
      <c r="W57" s="37"/>
      <c r="X57" s="37"/>
      <c r="Y57" s="37" t="s">
        <v>276</v>
      </c>
      <c r="Z57" s="37" t="s">
        <v>200</v>
      </c>
      <c r="AA57" s="36"/>
      <c r="AB57" s="37"/>
      <c r="AC57" s="39">
        <v>87</v>
      </c>
      <c r="AD57" s="40" t="str">
        <f t="shared" si="1"/>
        <v>7년 3개월</v>
      </c>
      <c r="AE57" s="39">
        <f ca="1">(재직자!$AL$1-J57)/30</f>
        <v>193.23333333333332</v>
      </c>
      <c r="AF57" s="42" t="str">
        <f t="shared" ca="1" si="2"/>
        <v>16년 1개월</v>
      </c>
      <c r="AG57" s="39">
        <f t="shared" ca="1" si="3"/>
        <v>280.23333333333335</v>
      </c>
      <c r="AH57" s="42" t="str">
        <f t="shared" ca="1" si="4"/>
        <v>23년 4개월</v>
      </c>
      <c r="AI57" s="43" t="s">
        <v>399</v>
      </c>
      <c r="AJ57" s="33" t="s">
        <v>400</v>
      </c>
      <c r="AK57" s="44" t="s">
        <v>401</v>
      </c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</row>
    <row r="58" spans="1:54" ht="23.25" customHeight="1">
      <c r="A58" s="33" t="s">
        <v>280</v>
      </c>
      <c r="B58" s="37">
        <v>130203</v>
      </c>
      <c r="C58" s="37" t="s">
        <v>226</v>
      </c>
      <c r="D58" s="37" t="s">
        <v>402</v>
      </c>
      <c r="E58" s="37" t="s">
        <v>44</v>
      </c>
      <c r="F58" s="37"/>
      <c r="G58" s="37" t="s">
        <v>120</v>
      </c>
      <c r="H58" s="37" t="s">
        <v>120</v>
      </c>
      <c r="I58" s="37" t="s">
        <v>403</v>
      </c>
      <c r="J58" s="36">
        <v>41309</v>
      </c>
      <c r="K58" s="36">
        <v>37127</v>
      </c>
      <c r="L58" s="36">
        <v>41429</v>
      </c>
      <c r="M58" s="37" t="s">
        <v>153</v>
      </c>
      <c r="N58" s="37" t="s">
        <v>318</v>
      </c>
      <c r="O58" s="37" t="s">
        <v>404</v>
      </c>
      <c r="P58" s="37"/>
      <c r="Q58" s="37" t="s">
        <v>209</v>
      </c>
      <c r="R58" s="36">
        <v>39311</v>
      </c>
      <c r="S58" s="37" t="s">
        <v>405</v>
      </c>
      <c r="T58" s="37"/>
      <c r="U58" s="37" t="s">
        <v>405</v>
      </c>
      <c r="V58" s="37"/>
      <c r="W58" s="37"/>
      <c r="X58" s="37"/>
      <c r="Y58" s="37"/>
      <c r="Z58" s="37"/>
      <c r="AA58" s="37"/>
      <c r="AB58" s="37"/>
      <c r="AC58" s="39">
        <v>36</v>
      </c>
      <c r="AD58" s="46" t="str">
        <f t="shared" si="1"/>
        <v>3년 0개월</v>
      </c>
      <c r="AE58" s="39">
        <f ca="1">(재직자!$AL$1-J58)/30</f>
        <v>160.16666666666666</v>
      </c>
      <c r="AF58" s="46" t="str">
        <f t="shared" ca="1" si="2"/>
        <v>13년 4개월</v>
      </c>
      <c r="AG58" s="39">
        <f t="shared" ca="1" si="3"/>
        <v>196.16666666666666</v>
      </c>
      <c r="AH58" s="46" t="str">
        <f t="shared" ca="1" si="4"/>
        <v>16년 4개월</v>
      </c>
      <c r="AI58" s="44" t="s">
        <v>406</v>
      </c>
      <c r="AJ58" s="37" t="s">
        <v>407</v>
      </c>
      <c r="AK58" s="47" t="s">
        <v>408</v>
      </c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</row>
    <row r="59" spans="1:54" ht="23.25" customHeight="1">
      <c r="A59" s="33" t="s">
        <v>100</v>
      </c>
      <c r="B59" s="33" t="s">
        <v>409</v>
      </c>
      <c r="C59" s="33" t="s">
        <v>193</v>
      </c>
      <c r="D59" s="34" t="s">
        <v>410</v>
      </c>
      <c r="E59" s="34" t="s">
        <v>353</v>
      </c>
      <c r="F59" s="34"/>
      <c r="G59" s="34" t="s">
        <v>61</v>
      </c>
      <c r="H59" s="34" t="s">
        <v>285</v>
      </c>
      <c r="I59" s="35" t="s">
        <v>411</v>
      </c>
      <c r="J59" s="36">
        <v>39448</v>
      </c>
      <c r="K59" s="36">
        <v>40909</v>
      </c>
      <c r="L59" s="36">
        <v>41455</v>
      </c>
      <c r="M59" s="37" t="s">
        <v>153</v>
      </c>
      <c r="N59" s="37" t="s">
        <v>412</v>
      </c>
      <c r="O59" s="38" t="s">
        <v>413</v>
      </c>
      <c r="P59" s="38"/>
      <c r="Q59" s="37" t="s">
        <v>209</v>
      </c>
      <c r="R59" s="36">
        <v>38764</v>
      </c>
      <c r="S59" s="37"/>
      <c r="T59" s="37"/>
      <c r="U59" s="37"/>
      <c r="V59" s="37"/>
      <c r="W59" s="37"/>
      <c r="X59" s="37"/>
      <c r="Y59" s="37" t="s">
        <v>276</v>
      </c>
      <c r="Z59" s="37"/>
      <c r="AA59" s="36" t="e">
        <f>+VLOOKUP($D59,[1]Sheet1!$A$1:$C$42,3,0)</f>
        <v>#N/A</v>
      </c>
      <c r="AB59" s="37" t="e">
        <f>+VLOOKUP($D59,[1]Sheet1!$A$1:$C$42,2,0)</f>
        <v>#N/A</v>
      </c>
      <c r="AC59" s="39">
        <v>14</v>
      </c>
      <c r="AD59" s="40" t="str">
        <f t="shared" si="1"/>
        <v>1년 2개월</v>
      </c>
      <c r="AE59" s="39">
        <f t="shared" ref="AE59:AE70" ca="1" si="5">($AK$1-J59)/30</f>
        <v>222.2</v>
      </c>
      <c r="AF59" s="42" t="str">
        <f t="shared" ca="1" si="2"/>
        <v>18년 6개월</v>
      </c>
      <c r="AG59" s="39">
        <f t="shared" ca="1" si="3"/>
        <v>236.2</v>
      </c>
      <c r="AH59" s="48" t="str">
        <f t="shared" ca="1" si="4"/>
        <v>19년 8개월</v>
      </c>
      <c r="AI59" s="43" t="s">
        <v>414</v>
      </c>
      <c r="AJ59" s="33" t="s">
        <v>415</v>
      </c>
      <c r="AK59" s="44" t="s">
        <v>416</v>
      </c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</row>
    <row r="60" spans="1:54" ht="23.25" customHeight="1">
      <c r="A60" s="33" t="s">
        <v>92</v>
      </c>
      <c r="B60" s="33" t="s">
        <v>417</v>
      </c>
      <c r="C60" s="33" t="s">
        <v>226</v>
      </c>
      <c r="D60" s="34" t="s">
        <v>418</v>
      </c>
      <c r="E60" s="34" t="s">
        <v>228</v>
      </c>
      <c r="F60" s="34"/>
      <c r="G60" s="34" t="s">
        <v>334</v>
      </c>
      <c r="H60" s="34" t="s">
        <v>334</v>
      </c>
      <c r="I60" s="35" t="s">
        <v>419</v>
      </c>
      <c r="J60" s="36">
        <v>39143</v>
      </c>
      <c r="K60" s="36">
        <v>41275</v>
      </c>
      <c r="L60" s="36">
        <v>41467</v>
      </c>
      <c r="M60" s="37" t="s">
        <v>153</v>
      </c>
      <c r="N60" s="37" t="s">
        <v>420</v>
      </c>
      <c r="O60" s="38" t="s">
        <v>389</v>
      </c>
      <c r="P60" s="38"/>
      <c r="Q60" s="37" t="s">
        <v>209</v>
      </c>
      <c r="R60" s="36">
        <v>36578</v>
      </c>
      <c r="S60" s="37" t="s">
        <v>421</v>
      </c>
      <c r="T60" s="36">
        <v>34862</v>
      </c>
      <c r="U60" s="37" t="s">
        <v>421</v>
      </c>
      <c r="V60" s="36">
        <v>34862</v>
      </c>
      <c r="W60" s="36"/>
      <c r="X60" s="36"/>
      <c r="Y60" s="37" t="s">
        <v>199</v>
      </c>
      <c r="Z60" s="37" t="s">
        <v>211</v>
      </c>
      <c r="AA60" s="36" t="e">
        <f>+VLOOKUP($D60,[1]Sheet1!$A$1:$C$42,3,0)</f>
        <v>#N/A</v>
      </c>
      <c r="AB60" s="37" t="e">
        <f>+VLOOKUP($D60,[1]Sheet1!$A$1:$C$42,2,0)</f>
        <v>#N/A</v>
      </c>
      <c r="AC60" s="39">
        <v>87</v>
      </c>
      <c r="AD60" s="40" t="str">
        <f t="shared" si="1"/>
        <v>7년 3개월</v>
      </c>
      <c r="AE60" s="39">
        <f t="shared" ca="1" si="5"/>
        <v>232.36666666666667</v>
      </c>
      <c r="AF60" s="42" t="str">
        <f t="shared" ca="1" si="2"/>
        <v>19년 4개월</v>
      </c>
      <c r="AG60" s="39">
        <f t="shared" ca="1" si="3"/>
        <v>319.36666666666667</v>
      </c>
      <c r="AH60" s="48" t="str">
        <f t="shared" ca="1" si="4"/>
        <v>26년 7개월</v>
      </c>
      <c r="AI60" s="43" t="s">
        <v>422</v>
      </c>
      <c r="AJ60" s="33" t="s">
        <v>423</v>
      </c>
      <c r="AK60" s="45" t="s">
        <v>424</v>
      </c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</row>
    <row r="61" spans="1:54" ht="23.25" customHeight="1">
      <c r="A61" s="33" t="s">
        <v>425</v>
      </c>
      <c r="B61" s="33" t="s">
        <v>426</v>
      </c>
      <c r="C61" s="33" t="s">
        <v>193</v>
      </c>
      <c r="D61" s="34" t="s">
        <v>427</v>
      </c>
      <c r="E61" s="34" t="s">
        <v>44</v>
      </c>
      <c r="F61" s="34"/>
      <c r="G61" s="34" t="s">
        <v>334</v>
      </c>
      <c r="H61" s="34" t="s">
        <v>334</v>
      </c>
      <c r="I61" s="35" t="s">
        <v>428</v>
      </c>
      <c r="J61" s="36">
        <v>40933</v>
      </c>
      <c r="K61" s="36"/>
      <c r="L61" s="36">
        <v>41455</v>
      </c>
      <c r="M61" s="37" t="s">
        <v>146</v>
      </c>
      <c r="N61" s="37" t="s">
        <v>429</v>
      </c>
      <c r="O61" s="38" t="s">
        <v>430</v>
      </c>
      <c r="P61" s="38"/>
      <c r="Q61" s="37" t="s">
        <v>265</v>
      </c>
      <c r="R61" s="36">
        <v>38401</v>
      </c>
      <c r="S61" s="37"/>
      <c r="T61" s="37"/>
      <c r="U61" s="37"/>
      <c r="V61" s="37"/>
      <c r="W61" s="37"/>
      <c r="X61" s="37"/>
      <c r="Y61" s="37" t="s">
        <v>210</v>
      </c>
      <c r="Z61" s="37"/>
      <c r="AA61" s="36"/>
      <c r="AB61" s="37"/>
      <c r="AC61" s="39">
        <v>18</v>
      </c>
      <c r="AD61" s="40" t="str">
        <f t="shared" si="1"/>
        <v>1년 6개월</v>
      </c>
      <c r="AE61" s="39">
        <f t="shared" ca="1" si="5"/>
        <v>172.7</v>
      </c>
      <c r="AF61" s="42" t="str">
        <f t="shared" ca="1" si="2"/>
        <v>14년 4개월</v>
      </c>
      <c r="AG61" s="39">
        <f t="shared" ca="1" si="3"/>
        <v>190.7</v>
      </c>
      <c r="AH61" s="48" t="str">
        <f t="shared" ca="1" si="4"/>
        <v>15년 10개월</v>
      </c>
      <c r="AI61" s="43" t="s">
        <v>431</v>
      </c>
      <c r="AJ61" s="33" t="s">
        <v>432</v>
      </c>
      <c r="AK61" s="44" t="s">
        <v>433</v>
      </c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</row>
    <row r="62" spans="1:54" ht="23.25" customHeight="1">
      <c r="A62" s="33" t="s">
        <v>434</v>
      </c>
      <c r="B62" s="33" t="s">
        <v>435</v>
      </c>
      <c r="C62" s="33" t="s">
        <v>193</v>
      </c>
      <c r="D62" s="34" t="s">
        <v>436</v>
      </c>
      <c r="E62" s="34" t="s">
        <v>88</v>
      </c>
      <c r="F62" s="34"/>
      <c r="G62" s="34" t="s">
        <v>437</v>
      </c>
      <c r="H62" s="34" t="s">
        <v>438</v>
      </c>
      <c r="I62" s="35" t="s">
        <v>439</v>
      </c>
      <c r="J62" s="36">
        <v>40962</v>
      </c>
      <c r="K62" s="36"/>
      <c r="L62" s="36">
        <v>41455</v>
      </c>
      <c r="M62" s="37" t="s">
        <v>153</v>
      </c>
      <c r="N62" s="37" t="s">
        <v>440</v>
      </c>
      <c r="O62" s="38" t="s">
        <v>288</v>
      </c>
      <c r="P62" s="38"/>
      <c r="Q62" s="37" t="s">
        <v>209</v>
      </c>
      <c r="R62" s="36">
        <v>40775</v>
      </c>
      <c r="S62" s="37"/>
      <c r="T62" s="37"/>
      <c r="U62" s="37"/>
      <c r="V62" s="37"/>
      <c r="W62" s="37"/>
      <c r="X62" s="37"/>
      <c r="Y62" s="37" t="s">
        <v>276</v>
      </c>
      <c r="Z62" s="37"/>
      <c r="AA62" s="36"/>
      <c r="AB62" s="37"/>
      <c r="AC62" s="39">
        <v>91</v>
      </c>
      <c r="AD62" s="40" t="str">
        <f t="shared" si="1"/>
        <v>7년 7개월</v>
      </c>
      <c r="AE62" s="39">
        <f t="shared" ca="1" si="5"/>
        <v>171.73333333333332</v>
      </c>
      <c r="AF62" s="42" t="str">
        <f t="shared" ca="1" si="2"/>
        <v>14년 3개월</v>
      </c>
      <c r="AG62" s="39">
        <f t="shared" ca="1" si="3"/>
        <v>262.73333333333335</v>
      </c>
      <c r="AH62" s="48" t="str">
        <f t="shared" ca="1" si="4"/>
        <v>21년 10개월</v>
      </c>
      <c r="AI62" s="43" t="s">
        <v>441</v>
      </c>
      <c r="AJ62" s="33" t="s">
        <v>442</v>
      </c>
      <c r="AK62" s="44" t="s">
        <v>443</v>
      </c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</row>
    <row r="63" spans="1:54" ht="23.25" customHeight="1">
      <c r="A63" s="33" t="s">
        <v>444</v>
      </c>
      <c r="B63" s="33" t="s">
        <v>445</v>
      </c>
      <c r="C63" s="33" t="s">
        <v>193</v>
      </c>
      <c r="D63" s="34" t="s">
        <v>446</v>
      </c>
      <c r="E63" s="34" t="s">
        <v>228</v>
      </c>
      <c r="F63" s="34"/>
      <c r="G63" s="34" t="s">
        <v>437</v>
      </c>
      <c r="H63" s="34" t="s">
        <v>438</v>
      </c>
      <c r="I63" s="35" t="s">
        <v>447</v>
      </c>
      <c r="J63" s="36">
        <v>40988</v>
      </c>
      <c r="K63" s="36"/>
      <c r="L63" s="36">
        <v>41455</v>
      </c>
      <c r="M63" s="37" t="s">
        <v>448</v>
      </c>
      <c r="N63" s="37">
        <v>0</v>
      </c>
      <c r="O63" s="38">
        <v>0</v>
      </c>
      <c r="P63" s="38"/>
      <c r="Q63" s="37" t="s">
        <v>448</v>
      </c>
      <c r="R63" s="37"/>
      <c r="S63" s="37"/>
      <c r="T63" s="37"/>
      <c r="U63" s="37"/>
      <c r="V63" s="37"/>
      <c r="W63" s="37"/>
      <c r="X63" s="37"/>
      <c r="Y63" s="37" t="s">
        <v>230</v>
      </c>
      <c r="Z63" s="37"/>
      <c r="AA63" s="36"/>
      <c r="AB63" s="37"/>
      <c r="AC63" s="39">
        <v>243</v>
      </c>
      <c r="AD63" s="38" t="str">
        <f t="shared" si="1"/>
        <v>20년 3개월</v>
      </c>
      <c r="AE63" s="39">
        <f t="shared" ca="1" si="5"/>
        <v>170.86666666666667</v>
      </c>
      <c r="AF63" s="42" t="str">
        <f t="shared" ca="1" si="2"/>
        <v>14년 2개월</v>
      </c>
      <c r="AG63" s="39">
        <f t="shared" ca="1" si="3"/>
        <v>413.86666666666667</v>
      </c>
      <c r="AH63" s="48" t="str">
        <f t="shared" ca="1" si="4"/>
        <v>34년 5개월</v>
      </c>
      <c r="AI63" s="43" t="s">
        <v>449</v>
      </c>
      <c r="AJ63" s="33" t="s">
        <v>450</v>
      </c>
      <c r="AK63" s="44" t="s">
        <v>451</v>
      </c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</row>
    <row r="64" spans="1:54" ht="23.25" customHeight="1">
      <c r="A64" s="33" t="s">
        <v>452</v>
      </c>
      <c r="B64" s="37">
        <v>121101</v>
      </c>
      <c r="C64" s="37" t="s">
        <v>193</v>
      </c>
      <c r="D64" s="37" t="s">
        <v>453</v>
      </c>
      <c r="E64" s="37" t="s">
        <v>454</v>
      </c>
      <c r="F64" s="37"/>
      <c r="G64" s="34" t="s">
        <v>305</v>
      </c>
      <c r="H64" s="34" t="s">
        <v>285</v>
      </c>
      <c r="I64" s="37" t="s">
        <v>455</v>
      </c>
      <c r="J64" s="36">
        <v>41233</v>
      </c>
      <c r="K64" s="36"/>
      <c r="L64" s="36">
        <v>41467</v>
      </c>
      <c r="M64" s="37" t="s">
        <v>196</v>
      </c>
      <c r="N64" s="37" t="s">
        <v>456</v>
      </c>
      <c r="O64" s="38" t="s">
        <v>457</v>
      </c>
      <c r="P64" s="38"/>
      <c r="Q64" s="37" t="s">
        <v>198</v>
      </c>
      <c r="R64" s="36">
        <v>36574</v>
      </c>
      <c r="S64" s="41"/>
      <c r="T64" s="37"/>
      <c r="U64" s="41"/>
      <c r="V64" s="37"/>
      <c r="W64" s="37"/>
      <c r="X64" s="37"/>
      <c r="Y64" s="37" t="s">
        <v>199</v>
      </c>
      <c r="Z64" s="37" t="s">
        <v>211</v>
      </c>
      <c r="AA64" s="45"/>
      <c r="AB64" s="44"/>
      <c r="AC64" s="39">
        <v>132</v>
      </c>
      <c r="AD64" s="40" t="str">
        <f t="shared" si="1"/>
        <v>11년 0개월</v>
      </c>
      <c r="AE64" s="39">
        <f t="shared" ca="1" si="5"/>
        <v>162.69999999999999</v>
      </c>
      <c r="AF64" s="46" t="str">
        <f t="shared" ca="1" si="2"/>
        <v>13년 6개월</v>
      </c>
      <c r="AG64" s="39">
        <f t="shared" ca="1" si="3"/>
        <v>294.7</v>
      </c>
      <c r="AH64" s="49" t="str">
        <f t="shared" ca="1" si="4"/>
        <v>24년 6개월</v>
      </c>
      <c r="AI64" s="44" t="s">
        <v>458</v>
      </c>
      <c r="AJ64" s="37" t="s">
        <v>459</v>
      </c>
      <c r="AK64" s="45" t="s">
        <v>460</v>
      </c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</row>
    <row r="65" spans="1:54" ht="23.25" customHeight="1">
      <c r="A65" s="33" t="s">
        <v>100</v>
      </c>
      <c r="B65" s="33" t="s">
        <v>461</v>
      </c>
      <c r="C65" s="33" t="s">
        <v>226</v>
      </c>
      <c r="D65" s="34" t="s">
        <v>462</v>
      </c>
      <c r="E65" s="34" t="s">
        <v>44</v>
      </c>
      <c r="F65" s="34"/>
      <c r="G65" s="34" t="s">
        <v>463</v>
      </c>
      <c r="H65" s="34" t="s">
        <v>463</v>
      </c>
      <c r="I65" s="35" t="s">
        <v>464</v>
      </c>
      <c r="J65" s="36">
        <v>39680</v>
      </c>
      <c r="K65" s="36">
        <v>40909</v>
      </c>
      <c r="L65" s="36">
        <v>41486</v>
      </c>
      <c r="M65" s="37" t="s">
        <v>146</v>
      </c>
      <c r="N65" s="37" t="s">
        <v>465</v>
      </c>
      <c r="O65" s="38" t="s">
        <v>466</v>
      </c>
      <c r="P65" s="38"/>
      <c r="Q65" s="37" t="s">
        <v>265</v>
      </c>
      <c r="R65" s="37"/>
      <c r="S65" s="37"/>
      <c r="T65" s="37"/>
      <c r="U65" s="37"/>
      <c r="V65" s="37"/>
      <c r="W65" s="37"/>
      <c r="X65" s="37"/>
      <c r="Y65" s="37"/>
      <c r="Z65" s="37"/>
      <c r="AA65" s="36"/>
      <c r="AB65" s="37"/>
      <c r="AC65" s="39">
        <v>18</v>
      </c>
      <c r="AD65" s="40" t="str">
        <f t="shared" si="1"/>
        <v>1년 6개월</v>
      </c>
      <c r="AE65" s="39">
        <f t="shared" ca="1" si="5"/>
        <v>214.46666666666667</v>
      </c>
      <c r="AF65" s="42" t="str">
        <f t="shared" ca="1" si="2"/>
        <v>17년 10개월</v>
      </c>
      <c r="AG65" s="39">
        <f t="shared" ca="1" si="3"/>
        <v>232.46666666666667</v>
      </c>
      <c r="AH65" s="48" t="str">
        <f t="shared" ca="1" si="4"/>
        <v>19년 4개월</v>
      </c>
      <c r="AI65" s="43" t="s">
        <v>467</v>
      </c>
      <c r="AJ65" s="33" t="s">
        <v>468</v>
      </c>
      <c r="AK65" s="44" t="s">
        <v>469</v>
      </c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</row>
    <row r="66" spans="1:54" ht="23.25" customHeight="1">
      <c r="A66" s="33" t="s">
        <v>331</v>
      </c>
      <c r="B66" s="33" t="s">
        <v>470</v>
      </c>
      <c r="C66" s="33" t="s">
        <v>226</v>
      </c>
      <c r="D66" s="34" t="s">
        <v>471</v>
      </c>
      <c r="E66" s="34" t="s">
        <v>472</v>
      </c>
      <c r="F66" s="34"/>
      <c r="G66" s="34" t="s">
        <v>120</v>
      </c>
      <c r="H66" s="34" t="s">
        <v>120</v>
      </c>
      <c r="I66" s="35" t="s">
        <v>473</v>
      </c>
      <c r="J66" s="36">
        <v>41155</v>
      </c>
      <c r="K66" s="36"/>
      <c r="L66" s="36">
        <v>41486</v>
      </c>
      <c r="M66" s="37" t="s">
        <v>153</v>
      </c>
      <c r="N66" s="37" t="s">
        <v>474</v>
      </c>
      <c r="O66" s="38" t="s">
        <v>475</v>
      </c>
      <c r="P66" s="38"/>
      <c r="Q66" s="37" t="s">
        <v>209</v>
      </c>
      <c r="R66" s="37"/>
      <c r="S66" s="37"/>
      <c r="T66" s="37"/>
      <c r="U66" s="37"/>
      <c r="V66" s="37"/>
      <c r="W66" s="37"/>
      <c r="X66" s="37"/>
      <c r="Y66" s="37"/>
      <c r="Z66" s="37"/>
      <c r="AA66" s="36"/>
      <c r="AB66" s="37"/>
      <c r="AC66" s="39">
        <v>228</v>
      </c>
      <c r="AD66" s="40" t="str">
        <f t="shared" si="1"/>
        <v>19년 0개월</v>
      </c>
      <c r="AE66" s="39">
        <f t="shared" ca="1" si="5"/>
        <v>165.3</v>
      </c>
      <c r="AF66" s="42" t="str">
        <f t="shared" ca="1" si="2"/>
        <v>13년 9개월</v>
      </c>
      <c r="AG66" s="39">
        <f t="shared" ca="1" si="3"/>
        <v>393.3</v>
      </c>
      <c r="AH66" s="48" t="str">
        <f t="shared" ca="1" si="4"/>
        <v>32년 9개월</v>
      </c>
      <c r="AI66" s="43" t="s">
        <v>476</v>
      </c>
      <c r="AJ66" s="33" t="s">
        <v>477</v>
      </c>
      <c r="AK66" s="45" t="s">
        <v>478</v>
      </c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</row>
    <row r="67" spans="1:54" ht="23.25" customHeight="1">
      <c r="A67" s="33" t="s">
        <v>479</v>
      </c>
      <c r="B67" s="33" t="s">
        <v>480</v>
      </c>
      <c r="C67" s="33" t="s">
        <v>193</v>
      </c>
      <c r="D67" s="34" t="s">
        <v>481</v>
      </c>
      <c r="E67" s="34" t="s">
        <v>304</v>
      </c>
      <c r="F67" s="34"/>
      <c r="G67" s="34" t="s">
        <v>284</v>
      </c>
      <c r="H67" s="34" t="s">
        <v>285</v>
      </c>
      <c r="I67" s="35" t="s">
        <v>482</v>
      </c>
      <c r="J67" s="36">
        <v>40756</v>
      </c>
      <c r="K67" s="36"/>
      <c r="L67" s="36">
        <v>41517</v>
      </c>
      <c r="M67" s="37" t="s">
        <v>196</v>
      </c>
      <c r="N67" s="37" t="s">
        <v>483</v>
      </c>
      <c r="O67" s="38" t="s">
        <v>457</v>
      </c>
      <c r="P67" s="38"/>
      <c r="Q67" s="37" t="s">
        <v>198</v>
      </c>
      <c r="R67" s="36">
        <v>38401</v>
      </c>
      <c r="S67" s="37" t="s">
        <v>275</v>
      </c>
      <c r="T67" s="36">
        <v>39433</v>
      </c>
      <c r="U67" s="37" t="s">
        <v>275</v>
      </c>
      <c r="V67" s="36">
        <v>39433</v>
      </c>
      <c r="W67" s="36"/>
      <c r="X67" s="36"/>
      <c r="Y67" s="37" t="s">
        <v>230</v>
      </c>
      <c r="Z67" s="37" t="s">
        <v>211</v>
      </c>
      <c r="AA67" s="36" t="e">
        <f>+VLOOKUP($D67,[1]Sheet1!$A$1:$C$42,3,0)</f>
        <v>#N/A</v>
      </c>
      <c r="AB67" s="37" t="e">
        <f>+VLOOKUP($D67,[1]Sheet1!$A$1:$C$42,2,0)</f>
        <v>#N/A</v>
      </c>
      <c r="AC67" s="39">
        <v>53</v>
      </c>
      <c r="AD67" s="38" t="str">
        <f t="shared" si="1"/>
        <v>4년 5개월</v>
      </c>
      <c r="AE67" s="39">
        <f t="shared" ca="1" si="5"/>
        <v>178.6</v>
      </c>
      <c r="AF67" s="42" t="str">
        <f t="shared" ca="1" si="2"/>
        <v>14년 10개월</v>
      </c>
      <c r="AG67" s="39">
        <f t="shared" ca="1" si="3"/>
        <v>231.6</v>
      </c>
      <c r="AH67" s="48" t="str">
        <f t="shared" ca="1" si="4"/>
        <v>19년 3개월</v>
      </c>
      <c r="AI67" s="43" t="s">
        <v>484</v>
      </c>
      <c r="AJ67" s="33" t="s">
        <v>485</v>
      </c>
      <c r="AK67" s="45" t="s">
        <v>486</v>
      </c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</row>
    <row r="68" spans="1:54" ht="23.25" customHeight="1">
      <c r="A68" s="33" t="s">
        <v>92</v>
      </c>
      <c r="B68" s="33" t="s">
        <v>487</v>
      </c>
      <c r="C68" s="33" t="s">
        <v>193</v>
      </c>
      <c r="D68" s="34" t="s">
        <v>488</v>
      </c>
      <c r="E68" s="34" t="s">
        <v>353</v>
      </c>
      <c r="F68" s="34"/>
      <c r="G68" s="34" t="s">
        <v>61</v>
      </c>
      <c r="H68" s="34" t="s">
        <v>306</v>
      </c>
      <c r="I68" s="35" t="s">
        <v>489</v>
      </c>
      <c r="J68" s="36">
        <v>39356</v>
      </c>
      <c r="K68" s="36">
        <v>40544</v>
      </c>
      <c r="L68" s="36">
        <v>41497</v>
      </c>
      <c r="M68" s="37" t="s">
        <v>153</v>
      </c>
      <c r="N68" s="37" t="s">
        <v>490</v>
      </c>
      <c r="O68" s="38" t="s">
        <v>491</v>
      </c>
      <c r="P68" s="38"/>
      <c r="Q68" s="37" t="s">
        <v>209</v>
      </c>
      <c r="R68" s="36">
        <v>38401</v>
      </c>
      <c r="S68" s="37"/>
      <c r="T68" s="37"/>
      <c r="U68" s="37"/>
      <c r="V68" s="37"/>
      <c r="W68" s="37"/>
      <c r="X68" s="37"/>
      <c r="Y68" s="37" t="s">
        <v>230</v>
      </c>
      <c r="Z68" s="37" t="s">
        <v>211</v>
      </c>
      <c r="AA68" s="36" t="e">
        <f>+VLOOKUP($D68,[1]Sheet1!$A$1:$C$42,3,0)</f>
        <v>#N/A</v>
      </c>
      <c r="AB68" s="37" t="e">
        <f>+VLOOKUP($D68,[1]Sheet1!$A$1:$C$42,2,0)</f>
        <v>#N/A</v>
      </c>
      <c r="AC68" s="39">
        <v>38</v>
      </c>
      <c r="AD68" s="40" t="str">
        <f t="shared" si="1"/>
        <v>3년 2개월</v>
      </c>
      <c r="AE68" s="39">
        <f t="shared" ca="1" si="5"/>
        <v>225.26666666666668</v>
      </c>
      <c r="AF68" s="42" t="str">
        <f t="shared" ca="1" si="2"/>
        <v>18년 9개월</v>
      </c>
      <c r="AG68" s="39">
        <f t="shared" ca="1" si="3"/>
        <v>263.26666666666665</v>
      </c>
      <c r="AH68" s="48" t="str">
        <f t="shared" ca="1" si="4"/>
        <v>21년 11개월</v>
      </c>
      <c r="AI68" s="43" t="s">
        <v>492</v>
      </c>
      <c r="AJ68" s="33" t="s">
        <v>493</v>
      </c>
      <c r="AK68" s="44" t="s">
        <v>494</v>
      </c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</row>
    <row r="69" spans="1:54" ht="23.25" customHeight="1">
      <c r="A69" s="33" t="s">
        <v>132</v>
      </c>
      <c r="B69" s="33" t="s">
        <v>495</v>
      </c>
      <c r="C69" s="33" t="s">
        <v>193</v>
      </c>
      <c r="D69" s="34" t="s">
        <v>496</v>
      </c>
      <c r="E69" s="34" t="s">
        <v>51</v>
      </c>
      <c r="F69" s="34"/>
      <c r="G69" s="34" t="s">
        <v>315</v>
      </c>
      <c r="H69" s="34" t="s">
        <v>370</v>
      </c>
      <c r="I69" s="35" t="s">
        <v>497</v>
      </c>
      <c r="J69" s="36">
        <v>40381</v>
      </c>
      <c r="K69" s="36"/>
      <c r="L69" s="36">
        <v>41480</v>
      </c>
      <c r="M69" s="37" t="s">
        <v>146</v>
      </c>
      <c r="N69" s="37" t="s">
        <v>498</v>
      </c>
      <c r="O69" s="38" t="s">
        <v>499</v>
      </c>
      <c r="P69" s="38"/>
      <c r="Q69" s="37" t="s">
        <v>265</v>
      </c>
      <c r="R69" s="36">
        <v>40232</v>
      </c>
      <c r="S69" s="37" t="s">
        <v>405</v>
      </c>
      <c r="T69" s="36">
        <v>40042</v>
      </c>
      <c r="U69" s="37" t="s">
        <v>405</v>
      </c>
      <c r="V69" s="36">
        <v>40042</v>
      </c>
      <c r="W69" s="36"/>
      <c r="X69" s="36"/>
      <c r="Y69" s="37" t="s">
        <v>210</v>
      </c>
      <c r="Z69" s="37" t="s">
        <v>211</v>
      </c>
      <c r="AA69" s="36" t="e">
        <f>+VLOOKUP($D69,[1]Sheet1!$A$1:$C$42,3,0)</f>
        <v>#N/A</v>
      </c>
      <c r="AB69" s="37" t="e">
        <f>+VLOOKUP($D69,[1]Sheet1!$A$1:$C$42,2,0)</f>
        <v>#N/A</v>
      </c>
      <c r="AC69" s="39">
        <v>0</v>
      </c>
      <c r="AD69" s="40" t="str">
        <f t="shared" si="1"/>
        <v>0년 0개월</v>
      </c>
      <c r="AE69" s="39">
        <f t="shared" ca="1" si="5"/>
        <v>191.1</v>
      </c>
      <c r="AF69" s="42" t="str">
        <f t="shared" ca="1" si="2"/>
        <v>15년 11개월</v>
      </c>
      <c r="AG69" s="39">
        <f t="shared" ca="1" si="3"/>
        <v>191.1</v>
      </c>
      <c r="AH69" s="48" t="str">
        <f t="shared" ca="1" si="4"/>
        <v>15년 11개월</v>
      </c>
      <c r="AI69" s="43" t="s">
        <v>500</v>
      </c>
      <c r="AJ69" s="33" t="s">
        <v>501</v>
      </c>
      <c r="AK69" s="44" t="s">
        <v>502</v>
      </c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</row>
    <row r="70" spans="1:54" ht="23.25" customHeight="1">
      <c r="A70" s="33" t="s">
        <v>233</v>
      </c>
      <c r="B70" s="33" t="s">
        <v>503</v>
      </c>
      <c r="C70" s="33" t="s">
        <v>226</v>
      </c>
      <c r="D70" s="34" t="s">
        <v>504</v>
      </c>
      <c r="E70" s="34" t="s">
        <v>139</v>
      </c>
      <c r="F70" s="34"/>
      <c r="G70" s="34" t="s">
        <v>437</v>
      </c>
      <c r="H70" s="34" t="s">
        <v>437</v>
      </c>
      <c r="I70" s="35" t="s">
        <v>505</v>
      </c>
      <c r="J70" s="36">
        <v>40917</v>
      </c>
      <c r="K70" s="36">
        <v>41275</v>
      </c>
      <c r="L70" s="36">
        <v>41519</v>
      </c>
      <c r="M70" s="37" t="s">
        <v>153</v>
      </c>
      <c r="N70" s="37" t="s">
        <v>506</v>
      </c>
      <c r="O70" s="38" t="s">
        <v>499</v>
      </c>
      <c r="P70" s="38"/>
      <c r="Q70" s="37" t="s">
        <v>209</v>
      </c>
      <c r="R70" s="36">
        <v>32928</v>
      </c>
      <c r="S70" s="37"/>
      <c r="T70" s="37"/>
      <c r="U70" s="37"/>
      <c r="V70" s="37"/>
      <c r="W70" s="37"/>
      <c r="X70" s="37"/>
      <c r="Y70" s="37" t="s">
        <v>199</v>
      </c>
      <c r="Z70" s="37"/>
      <c r="AA70" s="36" t="e">
        <f>+VLOOKUP($D70,[1]Sheet1!$A$1:$C$42,3,0)</f>
        <v>#N/A</v>
      </c>
      <c r="AB70" s="37" t="e">
        <f>+VLOOKUP($D70,[1]Sheet1!$A$1:$C$42,2,0)</f>
        <v>#N/A</v>
      </c>
      <c r="AC70" s="39">
        <v>243</v>
      </c>
      <c r="AD70" s="40" t="str">
        <f t="shared" si="1"/>
        <v>20년 3개월</v>
      </c>
      <c r="AE70" s="39">
        <f t="shared" ca="1" si="5"/>
        <v>173.23333333333332</v>
      </c>
      <c r="AF70" s="42" t="str">
        <f t="shared" ca="1" si="2"/>
        <v>14년 5개월</v>
      </c>
      <c r="AG70" s="39">
        <f t="shared" ca="1" si="3"/>
        <v>416.23333333333335</v>
      </c>
      <c r="AH70" s="48" t="str">
        <f t="shared" ca="1" si="4"/>
        <v>34년 8개월</v>
      </c>
      <c r="AI70" s="43" t="s">
        <v>507</v>
      </c>
      <c r="AJ70" s="33" t="s">
        <v>508</v>
      </c>
      <c r="AK70" s="47" t="s">
        <v>509</v>
      </c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</row>
    <row r="71" spans="1:54" ht="23.25" customHeight="1">
      <c r="A71" s="33" t="s">
        <v>510</v>
      </c>
      <c r="B71" s="37">
        <v>130803</v>
      </c>
      <c r="C71" s="37" t="s">
        <v>511</v>
      </c>
      <c r="D71" s="37" t="s">
        <v>512</v>
      </c>
      <c r="E71" s="37" t="s">
        <v>228</v>
      </c>
      <c r="F71" s="37"/>
      <c r="G71" s="34" t="s">
        <v>513</v>
      </c>
      <c r="H71" s="34" t="s">
        <v>513</v>
      </c>
      <c r="I71" s="37" t="s">
        <v>514</v>
      </c>
      <c r="J71" s="36">
        <v>41505</v>
      </c>
      <c r="K71" s="36"/>
      <c r="L71" s="36">
        <v>41544</v>
      </c>
      <c r="M71" s="37" t="s">
        <v>196</v>
      </c>
      <c r="N71" s="37" t="s">
        <v>515</v>
      </c>
      <c r="O71" s="37" t="s">
        <v>516</v>
      </c>
      <c r="P71" s="37" t="s">
        <v>517</v>
      </c>
      <c r="Q71" s="37" t="s">
        <v>198</v>
      </c>
      <c r="R71" s="36">
        <v>40613</v>
      </c>
      <c r="S71" s="37"/>
      <c r="T71" s="36"/>
      <c r="U71" s="37"/>
      <c r="V71" s="36"/>
      <c r="W71" s="36"/>
      <c r="X71" s="36"/>
      <c r="Y71" s="37"/>
      <c r="Z71" s="37"/>
      <c r="AA71" s="37"/>
      <c r="AB71" s="37"/>
      <c r="AC71" s="39">
        <v>83</v>
      </c>
      <c r="AD71" s="46" t="str">
        <f t="shared" si="1"/>
        <v>6년 11개월</v>
      </c>
      <c r="AE71" s="39">
        <f ca="1">(재직자!$AL$1-J71)/30</f>
        <v>153.63333333333333</v>
      </c>
      <c r="AF71" s="46" t="str">
        <f t="shared" ca="1" si="2"/>
        <v>12년 9개월</v>
      </c>
      <c r="AG71" s="39">
        <f t="shared" ca="1" si="3"/>
        <v>236.63333333333333</v>
      </c>
      <c r="AH71" s="49" t="str">
        <f t="shared" ca="1" si="4"/>
        <v>19년 8개월</v>
      </c>
      <c r="AI71" s="44" t="s">
        <v>518</v>
      </c>
      <c r="AJ71" s="37" t="s">
        <v>519</v>
      </c>
      <c r="AK71" s="47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</row>
    <row r="72" spans="1:54" ht="23.25" customHeight="1">
      <c r="A72" s="33" t="s">
        <v>520</v>
      </c>
      <c r="B72" s="33" t="s">
        <v>521</v>
      </c>
      <c r="C72" s="33" t="s">
        <v>193</v>
      </c>
      <c r="D72" s="34" t="s">
        <v>522</v>
      </c>
      <c r="E72" s="34" t="s">
        <v>51</v>
      </c>
      <c r="F72" s="34"/>
      <c r="G72" s="34" t="s">
        <v>315</v>
      </c>
      <c r="H72" s="34" t="s">
        <v>316</v>
      </c>
      <c r="I72" s="35" t="s">
        <v>523</v>
      </c>
      <c r="J72" s="36">
        <v>40966</v>
      </c>
      <c r="K72" s="36"/>
      <c r="L72" s="36">
        <v>41578</v>
      </c>
      <c r="M72" s="37" t="s">
        <v>146</v>
      </c>
      <c r="N72" s="37" t="s">
        <v>524</v>
      </c>
      <c r="O72" s="38" t="s">
        <v>525</v>
      </c>
      <c r="P72" s="38"/>
      <c r="Q72" s="37" t="s">
        <v>265</v>
      </c>
      <c r="R72" s="36">
        <v>39126</v>
      </c>
      <c r="S72" s="37" t="s">
        <v>526</v>
      </c>
      <c r="T72" s="36">
        <v>40452</v>
      </c>
      <c r="U72" s="37"/>
      <c r="V72" s="37"/>
      <c r="W72" s="37"/>
      <c r="X72" s="37"/>
      <c r="Y72" s="37" t="s">
        <v>210</v>
      </c>
      <c r="Z72" s="37" t="s">
        <v>211</v>
      </c>
      <c r="AA72" s="36"/>
      <c r="AB72" s="37"/>
      <c r="AC72" s="39">
        <v>0</v>
      </c>
      <c r="AD72" s="40" t="str">
        <f t="shared" si="1"/>
        <v>0년 0개월</v>
      </c>
      <c r="AE72" s="39">
        <f ca="1">(재직자!$AL$1-J72)/30</f>
        <v>171.6</v>
      </c>
      <c r="AF72" s="42" t="str">
        <f t="shared" ca="1" si="2"/>
        <v>14년 3개월</v>
      </c>
      <c r="AG72" s="39">
        <f t="shared" ca="1" si="3"/>
        <v>171.6</v>
      </c>
      <c r="AH72" s="48" t="str">
        <f t="shared" ca="1" si="4"/>
        <v>14년 3개월</v>
      </c>
      <c r="AI72" s="43" t="s">
        <v>527</v>
      </c>
      <c r="AJ72" s="33" t="s">
        <v>528</v>
      </c>
      <c r="AK72" s="44" t="s">
        <v>529</v>
      </c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</row>
    <row r="73" spans="1:54" ht="23.25" customHeight="1">
      <c r="A73" s="33" t="s">
        <v>434</v>
      </c>
      <c r="B73" s="33" t="s">
        <v>530</v>
      </c>
      <c r="C73" s="33" t="s">
        <v>226</v>
      </c>
      <c r="D73" s="34" t="s">
        <v>531</v>
      </c>
      <c r="E73" s="34" t="s">
        <v>139</v>
      </c>
      <c r="F73" s="34"/>
      <c r="G73" s="34" t="s">
        <v>513</v>
      </c>
      <c r="H73" s="34" t="s">
        <v>513</v>
      </c>
      <c r="I73" s="35" t="s">
        <v>532</v>
      </c>
      <c r="J73" s="36">
        <v>41122</v>
      </c>
      <c r="K73" s="36"/>
      <c r="L73" s="36"/>
      <c r="M73" s="37" t="s">
        <v>153</v>
      </c>
      <c r="N73" s="37" t="s">
        <v>474</v>
      </c>
      <c r="O73" s="38" t="s">
        <v>533</v>
      </c>
      <c r="P73" s="38"/>
      <c r="Q73" s="37" t="s">
        <v>209</v>
      </c>
      <c r="R73" s="36">
        <v>37484</v>
      </c>
      <c r="S73" s="37"/>
      <c r="T73" s="37"/>
      <c r="U73" s="37"/>
      <c r="V73" s="37"/>
      <c r="W73" s="37"/>
      <c r="X73" s="37"/>
      <c r="Y73" s="37" t="s">
        <v>199</v>
      </c>
      <c r="Z73" s="37"/>
      <c r="AA73" s="36"/>
      <c r="AB73" s="37"/>
      <c r="AC73" s="39">
        <v>214</v>
      </c>
      <c r="AD73" s="40" t="str">
        <f t="shared" si="1"/>
        <v>17년 10개월</v>
      </c>
      <c r="AE73" s="39">
        <f ca="1">($AK$1-J73)/30</f>
        <v>166.4</v>
      </c>
      <c r="AF73" s="42" t="str">
        <f t="shared" ca="1" si="2"/>
        <v>13년 10개월</v>
      </c>
      <c r="AG73" s="39">
        <f t="shared" ca="1" si="3"/>
        <v>380.4</v>
      </c>
      <c r="AH73" s="48" t="str">
        <f t="shared" ca="1" si="4"/>
        <v>31년 8개월</v>
      </c>
      <c r="AI73" s="43"/>
      <c r="AJ73" s="33" t="s">
        <v>534</v>
      </c>
      <c r="AK73" s="50" t="s">
        <v>535</v>
      </c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</row>
    <row r="74" spans="1:54" ht="23.25" customHeight="1">
      <c r="A74" s="33" t="s">
        <v>536</v>
      </c>
      <c r="B74" s="33" t="s">
        <v>537</v>
      </c>
      <c r="C74" s="33" t="s">
        <v>193</v>
      </c>
      <c r="D74" s="34" t="s">
        <v>538</v>
      </c>
      <c r="E74" s="34" t="s">
        <v>228</v>
      </c>
      <c r="F74" s="34"/>
      <c r="G74" s="34" t="s">
        <v>315</v>
      </c>
      <c r="H74" s="34" t="s">
        <v>539</v>
      </c>
      <c r="I74" s="35" t="s">
        <v>540</v>
      </c>
      <c r="J74" s="36">
        <v>41001</v>
      </c>
      <c r="K74" s="36">
        <v>41275</v>
      </c>
      <c r="L74" s="36"/>
      <c r="M74" s="37" t="s">
        <v>153</v>
      </c>
      <c r="N74" s="37" t="s">
        <v>541</v>
      </c>
      <c r="O74" s="38" t="s">
        <v>542</v>
      </c>
      <c r="P74" s="38"/>
      <c r="Q74" s="37" t="s">
        <v>209</v>
      </c>
      <c r="R74" s="36">
        <v>34752</v>
      </c>
      <c r="S74" s="37" t="s">
        <v>543</v>
      </c>
      <c r="T74" s="36">
        <v>35278</v>
      </c>
      <c r="U74" s="37"/>
      <c r="V74" s="37"/>
      <c r="W74" s="37"/>
      <c r="X74" s="37"/>
      <c r="Y74" s="37" t="s">
        <v>199</v>
      </c>
      <c r="Z74" s="37"/>
      <c r="AA74" s="36"/>
      <c r="AB74" s="37"/>
      <c r="AC74" s="39">
        <v>206</v>
      </c>
      <c r="AD74" s="40" t="str">
        <f t="shared" si="1"/>
        <v>17년 2개월</v>
      </c>
      <c r="AE74" s="39">
        <f ca="1">($AK$1-J74)/30</f>
        <v>170.43333333333334</v>
      </c>
      <c r="AF74" s="42" t="str">
        <f t="shared" ca="1" si="2"/>
        <v>14년 2개월</v>
      </c>
      <c r="AG74" s="39">
        <f t="shared" ca="1" si="3"/>
        <v>376.43333333333334</v>
      </c>
      <c r="AH74" s="48" t="str">
        <f t="shared" ca="1" si="4"/>
        <v>31년 4개월</v>
      </c>
      <c r="AI74" s="43" t="s">
        <v>544</v>
      </c>
      <c r="AJ74" s="33" t="s">
        <v>545</v>
      </c>
      <c r="AK74" s="50" t="s">
        <v>546</v>
      </c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</row>
    <row r="75" spans="1:54" ht="15" customHeight="1">
      <c r="A75" s="33" t="s">
        <v>134</v>
      </c>
      <c r="B75" s="33" t="s">
        <v>547</v>
      </c>
      <c r="C75" s="33" t="s">
        <v>193</v>
      </c>
      <c r="D75" s="51" t="s">
        <v>548</v>
      </c>
      <c r="E75" s="34" t="s">
        <v>549</v>
      </c>
      <c r="F75" s="34"/>
      <c r="G75" s="34" t="s">
        <v>61</v>
      </c>
      <c r="H75" s="34" t="s">
        <v>285</v>
      </c>
      <c r="I75" s="35" t="s">
        <v>550</v>
      </c>
      <c r="J75" s="36">
        <v>40493</v>
      </c>
      <c r="K75" s="36">
        <v>40909</v>
      </c>
      <c r="L75" s="36"/>
      <c r="M75" s="37" t="s">
        <v>196</v>
      </c>
      <c r="N75" s="37" t="s">
        <v>551</v>
      </c>
      <c r="O75" s="38" t="s">
        <v>552</v>
      </c>
      <c r="P75" s="38"/>
      <c r="Q75" s="37" t="s">
        <v>198</v>
      </c>
      <c r="R75" s="36">
        <v>38762</v>
      </c>
      <c r="S75" s="37"/>
      <c r="T75" s="37"/>
      <c r="U75" s="37"/>
      <c r="V75" s="37"/>
      <c r="W75" s="37"/>
      <c r="X75" s="37"/>
      <c r="Y75" s="37" t="s">
        <v>199</v>
      </c>
      <c r="Z75" s="37"/>
      <c r="AA75" s="36" t="e">
        <f>+VLOOKUP($D75,[1]Sheet1!$A$1:$C$42,3,0)</f>
        <v>#N/A</v>
      </c>
      <c r="AB75" s="37" t="e">
        <f>+VLOOKUP($D75,[1]Sheet1!$A$1:$C$42,2,0)</f>
        <v>#N/A</v>
      </c>
      <c r="AC75" s="39">
        <v>139</v>
      </c>
      <c r="AD75" s="40" t="str">
        <f t="shared" si="1"/>
        <v>11년 7개월</v>
      </c>
      <c r="AE75" s="39">
        <f ca="1">($AK$1-J75)/30</f>
        <v>187.36666666666667</v>
      </c>
      <c r="AF75" s="42" t="str">
        <f t="shared" ca="1" si="2"/>
        <v>15년 7개월</v>
      </c>
      <c r="AG75" s="39">
        <f t="shared" ca="1" si="3"/>
        <v>326.36666666666667</v>
      </c>
      <c r="AH75" s="48" t="str">
        <f t="shared" ca="1" si="4"/>
        <v>27년 2개월</v>
      </c>
      <c r="AI75" s="43" t="s">
        <v>553</v>
      </c>
      <c r="AJ75" s="33" t="s">
        <v>554</v>
      </c>
      <c r="AK75" s="50" t="s">
        <v>555</v>
      </c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</row>
    <row r="76" spans="1:54" ht="15" customHeight="1">
      <c r="A76" s="33" t="s">
        <v>187</v>
      </c>
      <c r="B76" s="33" t="s">
        <v>556</v>
      </c>
      <c r="C76" s="33" t="s">
        <v>193</v>
      </c>
      <c r="D76" s="51" t="s">
        <v>557</v>
      </c>
      <c r="E76" s="34" t="s">
        <v>454</v>
      </c>
      <c r="F76" s="34"/>
      <c r="G76" s="34" t="s">
        <v>284</v>
      </c>
      <c r="H76" s="34" t="s">
        <v>285</v>
      </c>
      <c r="I76" s="35" t="s">
        <v>558</v>
      </c>
      <c r="J76" s="36">
        <v>40791</v>
      </c>
      <c r="K76" s="36"/>
      <c r="L76" s="36"/>
      <c r="M76" s="37" t="s">
        <v>153</v>
      </c>
      <c r="N76" s="37" t="s">
        <v>559</v>
      </c>
      <c r="O76" s="38" t="s">
        <v>560</v>
      </c>
      <c r="P76" s="38"/>
      <c r="Q76" s="37" t="s">
        <v>209</v>
      </c>
      <c r="R76" s="36">
        <v>35119</v>
      </c>
      <c r="S76" s="37"/>
      <c r="T76" s="37"/>
      <c r="U76" s="37"/>
      <c r="V76" s="37"/>
      <c r="W76" s="37"/>
      <c r="X76" s="37"/>
      <c r="Y76" s="37" t="s">
        <v>199</v>
      </c>
      <c r="Z76" s="37" t="s">
        <v>211</v>
      </c>
      <c r="AA76" s="36"/>
      <c r="AB76" s="37"/>
      <c r="AC76" s="39">
        <v>130</v>
      </c>
      <c r="AD76" s="40" t="str">
        <f t="shared" si="1"/>
        <v>10년 10개월</v>
      </c>
      <c r="AE76" s="39">
        <f ca="1">($AK$1-J76)/30</f>
        <v>177.43333333333334</v>
      </c>
      <c r="AF76" s="42" t="str">
        <f t="shared" ca="1" si="2"/>
        <v>14년 9개월</v>
      </c>
      <c r="AG76" s="39">
        <f t="shared" ca="1" si="3"/>
        <v>307.43333333333334</v>
      </c>
      <c r="AH76" s="48" t="str">
        <f t="shared" ca="1" si="4"/>
        <v>25년 7개월</v>
      </c>
      <c r="AI76" s="43" t="s">
        <v>561</v>
      </c>
      <c r="AJ76" s="33" t="s">
        <v>562</v>
      </c>
      <c r="AK76" s="44" t="s">
        <v>563</v>
      </c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</row>
    <row r="77" spans="1:54" ht="15" customHeight="1">
      <c r="A77" s="33" t="s">
        <v>160</v>
      </c>
      <c r="B77" s="33" t="s">
        <v>564</v>
      </c>
      <c r="C77" s="33" t="s">
        <v>193</v>
      </c>
      <c r="D77" s="52" t="s">
        <v>565</v>
      </c>
      <c r="E77" s="34" t="s">
        <v>51</v>
      </c>
      <c r="F77" s="34"/>
      <c r="G77" s="34" t="s">
        <v>566</v>
      </c>
      <c r="H77" s="34" t="s">
        <v>566</v>
      </c>
      <c r="I77" s="35" t="s">
        <v>567</v>
      </c>
      <c r="J77" s="36">
        <v>40595</v>
      </c>
      <c r="K77" s="36"/>
      <c r="L77" s="36"/>
      <c r="M77" s="37" t="s">
        <v>448</v>
      </c>
      <c r="N77" s="37" t="s">
        <v>568</v>
      </c>
      <c r="O77" s="38">
        <v>0</v>
      </c>
      <c r="P77" s="38"/>
      <c r="Q77" s="37" t="s">
        <v>448</v>
      </c>
      <c r="R77" s="37"/>
      <c r="S77" s="37" t="s">
        <v>569</v>
      </c>
      <c r="T77" s="36">
        <v>37088</v>
      </c>
      <c r="U77" s="37" t="s">
        <v>526</v>
      </c>
      <c r="V77" s="36">
        <v>40452</v>
      </c>
      <c r="W77" s="37"/>
      <c r="X77" s="37"/>
      <c r="Y77" s="37" t="s">
        <v>210</v>
      </c>
      <c r="Z77" s="37" t="s">
        <v>211</v>
      </c>
      <c r="AA77" s="36"/>
      <c r="AB77" s="37"/>
      <c r="AC77" s="39">
        <v>0</v>
      </c>
      <c r="AD77" s="40" t="str">
        <f t="shared" si="1"/>
        <v>0년 0개월</v>
      </c>
      <c r="AE77" s="39">
        <f ca="1">(재직자!$AL$1-J77)/30</f>
        <v>183.96666666666667</v>
      </c>
      <c r="AF77" s="42" t="str">
        <f t="shared" ca="1" si="2"/>
        <v>15년 3개월</v>
      </c>
      <c r="AG77" s="39">
        <f t="shared" ca="1" si="3"/>
        <v>183.96666666666667</v>
      </c>
      <c r="AH77" s="48" t="str">
        <f t="shared" ca="1" si="4"/>
        <v>15년 3개월</v>
      </c>
      <c r="AI77" s="43" t="s">
        <v>570</v>
      </c>
      <c r="AJ77" s="33" t="s">
        <v>571</v>
      </c>
      <c r="AK77" s="53" t="s">
        <v>572</v>
      </c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</row>
    <row r="78" spans="1:54" ht="15" customHeight="1">
      <c r="A78" s="33" t="s">
        <v>233</v>
      </c>
      <c r="B78" s="33" t="s">
        <v>573</v>
      </c>
      <c r="C78" s="33" t="s">
        <v>193</v>
      </c>
      <c r="D78" s="52" t="s">
        <v>574</v>
      </c>
      <c r="E78" s="34" t="s">
        <v>51</v>
      </c>
      <c r="F78" s="34"/>
      <c r="G78" s="34" t="s">
        <v>566</v>
      </c>
      <c r="H78" s="34" t="s">
        <v>566</v>
      </c>
      <c r="I78" s="35" t="s">
        <v>575</v>
      </c>
      <c r="J78" s="36">
        <v>40994</v>
      </c>
      <c r="K78" s="36"/>
      <c r="L78" s="36"/>
      <c r="M78" s="37" t="s">
        <v>448</v>
      </c>
      <c r="N78" s="37">
        <v>0</v>
      </c>
      <c r="O78" s="38">
        <v>0</v>
      </c>
      <c r="P78" s="38"/>
      <c r="Q78" s="37" t="s">
        <v>448</v>
      </c>
      <c r="R78" s="37"/>
      <c r="S78" s="37" t="s">
        <v>576</v>
      </c>
      <c r="T78" s="36">
        <v>40634</v>
      </c>
      <c r="U78" s="37"/>
      <c r="V78" s="37"/>
      <c r="W78" s="37"/>
      <c r="X78" s="37"/>
      <c r="Y78" s="37" t="s">
        <v>210</v>
      </c>
      <c r="Z78" s="37" t="s">
        <v>211</v>
      </c>
      <c r="AA78" s="36"/>
      <c r="AB78" s="37"/>
      <c r="AC78" s="39">
        <v>10</v>
      </c>
      <c r="AD78" s="40" t="str">
        <f t="shared" si="1"/>
        <v>0년 10개월</v>
      </c>
      <c r="AE78" s="39">
        <f ca="1">($AK$1-J78)/30</f>
        <v>170.66666666666666</v>
      </c>
      <c r="AF78" s="42" t="str">
        <f t="shared" ca="1" si="2"/>
        <v>14년 2개월</v>
      </c>
      <c r="AG78" s="39">
        <f t="shared" ca="1" si="3"/>
        <v>180.66666666666666</v>
      </c>
      <c r="AH78" s="48" t="str">
        <f t="shared" ca="1" si="4"/>
        <v>15년 0개월</v>
      </c>
      <c r="AI78" s="43" t="s">
        <v>577</v>
      </c>
      <c r="AJ78" s="33" t="s">
        <v>578</v>
      </c>
      <c r="AK78" s="44" t="s">
        <v>579</v>
      </c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</row>
    <row r="79" spans="1:54" ht="15" customHeight="1">
      <c r="A79" s="33" t="s">
        <v>233</v>
      </c>
      <c r="B79" s="33" t="s">
        <v>580</v>
      </c>
      <c r="C79" s="33" t="s">
        <v>193</v>
      </c>
      <c r="D79" s="34" t="s">
        <v>581</v>
      </c>
      <c r="E79" s="34" t="s">
        <v>304</v>
      </c>
      <c r="F79" s="34"/>
      <c r="G79" s="34" t="s">
        <v>61</v>
      </c>
      <c r="H79" s="34" t="s">
        <v>582</v>
      </c>
      <c r="I79" s="35" t="s">
        <v>583</v>
      </c>
      <c r="J79" s="36">
        <v>41155</v>
      </c>
      <c r="K79" s="36"/>
      <c r="L79" s="36">
        <v>41719</v>
      </c>
      <c r="M79" s="37" t="s">
        <v>153</v>
      </c>
      <c r="N79" s="37" t="s">
        <v>584</v>
      </c>
      <c r="O79" s="38" t="s">
        <v>585</v>
      </c>
      <c r="P79" s="38"/>
      <c r="Q79" s="37" t="s">
        <v>209</v>
      </c>
      <c r="R79" s="36">
        <v>39500</v>
      </c>
      <c r="S79" s="37" t="s">
        <v>275</v>
      </c>
      <c r="T79" s="36">
        <v>39237</v>
      </c>
      <c r="U79" s="37"/>
      <c r="V79" s="37"/>
      <c r="W79" s="37"/>
      <c r="X79" s="37"/>
      <c r="Y79" s="37" t="s">
        <v>276</v>
      </c>
      <c r="Z79" s="37" t="s">
        <v>211</v>
      </c>
      <c r="AA79" s="36"/>
      <c r="AB79" s="37"/>
      <c r="AC79" s="39">
        <v>53</v>
      </c>
      <c r="AD79" s="38" t="str">
        <f t="shared" si="1"/>
        <v>4년 5개월</v>
      </c>
      <c r="AE79" s="39">
        <f ca="1">(재직자!$AL$1-J79)/30</f>
        <v>165.3</v>
      </c>
      <c r="AF79" s="39" t="str">
        <f t="shared" ca="1" si="2"/>
        <v>13년 9개월</v>
      </c>
      <c r="AG79" s="39">
        <f t="shared" ca="1" si="3"/>
        <v>218.3</v>
      </c>
      <c r="AH79" s="39" t="str">
        <f t="shared" ca="1" si="4"/>
        <v>18년 2개월</v>
      </c>
      <c r="AI79" s="43" t="s">
        <v>586</v>
      </c>
      <c r="AJ79" s="33" t="s">
        <v>587</v>
      </c>
      <c r="AK79" s="50" t="s">
        <v>588</v>
      </c>
      <c r="AL79" s="37" t="e">
        <f>+VLOOKUP($D79,[2]Sheet1!$C$2:$D$36,2,0)</f>
        <v>#N/A</v>
      </c>
      <c r="AM79" s="37" t="s">
        <v>589</v>
      </c>
      <c r="AN79" s="54">
        <v>1.2</v>
      </c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</row>
    <row r="80" spans="1:54" ht="15" customHeight="1">
      <c r="A80" s="33" t="s">
        <v>183</v>
      </c>
      <c r="B80" s="33" t="s">
        <v>590</v>
      </c>
      <c r="C80" s="33" t="s">
        <v>193</v>
      </c>
      <c r="D80" s="34" t="s">
        <v>591</v>
      </c>
      <c r="E80" s="34" t="s">
        <v>88</v>
      </c>
      <c r="F80" s="34"/>
      <c r="G80" s="34" t="s">
        <v>592</v>
      </c>
      <c r="H80" s="34" t="s">
        <v>592</v>
      </c>
      <c r="I80" s="35" t="s">
        <v>593</v>
      </c>
      <c r="J80" s="36">
        <v>40882</v>
      </c>
      <c r="K80" s="36"/>
      <c r="L80" s="36">
        <v>41820</v>
      </c>
      <c r="M80" s="37" t="s">
        <v>146</v>
      </c>
      <c r="N80" s="37" t="s">
        <v>594</v>
      </c>
      <c r="O80" s="38" t="s">
        <v>595</v>
      </c>
      <c r="P80" s="38"/>
      <c r="Q80" s="37" t="s">
        <v>265</v>
      </c>
      <c r="R80" s="36">
        <v>37309</v>
      </c>
      <c r="S80" s="37" t="s">
        <v>596</v>
      </c>
      <c r="T80" s="36">
        <v>37232</v>
      </c>
      <c r="U80" s="37" t="s">
        <v>597</v>
      </c>
      <c r="V80" s="36">
        <v>37245</v>
      </c>
      <c r="W80" s="37"/>
      <c r="X80" s="37"/>
      <c r="Y80" s="37" t="s">
        <v>230</v>
      </c>
      <c r="Z80" s="37"/>
      <c r="AA80" s="36"/>
      <c r="AB80" s="37"/>
      <c r="AC80" s="39">
        <v>126</v>
      </c>
      <c r="AD80" s="38" t="str">
        <f t="shared" si="1"/>
        <v>10년 6개월</v>
      </c>
      <c r="AE80" s="39">
        <f ca="1">(재직자!$AL$1-J80)/30</f>
        <v>174.4</v>
      </c>
      <c r="AF80" s="39" t="str">
        <f t="shared" ca="1" si="2"/>
        <v>14년 6개월</v>
      </c>
      <c r="AG80" s="39">
        <f t="shared" ca="1" si="3"/>
        <v>300.39999999999998</v>
      </c>
      <c r="AH80" s="39" t="str">
        <f t="shared" ca="1" si="4"/>
        <v>25년 0개월</v>
      </c>
      <c r="AI80" s="43" t="s">
        <v>598</v>
      </c>
      <c r="AJ80" s="33" t="s">
        <v>599</v>
      </c>
      <c r="AK80" s="44" t="s">
        <v>600</v>
      </c>
      <c r="AL80" s="37"/>
      <c r="AM80" s="37" t="s">
        <v>601</v>
      </c>
      <c r="AN80" s="54">
        <v>8.16</v>
      </c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</row>
    <row r="81" spans="1:54" ht="15" customHeight="1">
      <c r="A81" s="33" t="s">
        <v>602</v>
      </c>
      <c r="B81" s="33" t="s">
        <v>603</v>
      </c>
      <c r="C81" s="33" t="s">
        <v>226</v>
      </c>
      <c r="D81" s="34" t="s">
        <v>604</v>
      </c>
      <c r="E81" s="34" t="s">
        <v>34</v>
      </c>
      <c r="F81" s="34"/>
      <c r="G81" s="34" t="s">
        <v>463</v>
      </c>
      <c r="H81" s="34" t="s">
        <v>463</v>
      </c>
      <c r="I81" s="35" t="s">
        <v>605</v>
      </c>
      <c r="J81" s="36">
        <v>41099</v>
      </c>
      <c r="K81" s="36"/>
      <c r="L81" s="36">
        <v>41775</v>
      </c>
      <c r="M81" s="37" t="s">
        <v>196</v>
      </c>
      <c r="N81" s="37" t="s">
        <v>606</v>
      </c>
      <c r="O81" s="38" t="s">
        <v>607</v>
      </c>
      <c r="P81" s="38"/>
      <c r="Q81" s="37" t="s">
        <v>198</v>
      </c>
      <c r="R81" s="36">
        <v>40233</v>
      </c>
      <c r="S81" s="37"/>
      <c r="T81" s="37"/>
      <c r="U81" s="37"/>
      <c r="V81" s="37"/>
      <c r="W81" s="37"/>
      <c r="X81" s="37"/>
      <c r="Y81" s="37"/>
      <c r="Z81" s="37"/>
      <c r="AA81" s="36"/>
      <c r="AB81" s="37"/>
      <c r="AC81" s="39">
        <v>132</v>
      </c>
      <c r="AD81" s="38" t="str">
        <f t="shared" si="1"/>
        <v>11년 0개월</v>
      </c>
      <c r="AE81" s="39">
        <f ca="1">(재직자!$AL$1-J81)/30</f>
        <v>167.16666666666666</v>
      </c>
      <c r="AF81" s="39" t="str">
        <f t="shared" ca="1" si="2"/>
        <v>13년 11개월</v>
      </c>
      <c r="AG81" s="39">
        <f t="shared" ca="1" si="3"/>
        <v>299.16666666666663</v>
      </c>
      <c r="AH81" s="39" t="str">
        <f t="shared" ca="1" si="4"/>
        <v>24년 11개월</v>
      </c>
      <c r="AI81" s="43" t="s">
        <v>608</v>
      </c>
      <c r="AJ81" s="33" t="s">
        <v>290</v>
      </c>
      <c r="AK81" s="44" t="s">
        <v>609</v>
      </c>
      <c r="AL81" s="37" t="e">
        <f>+VLOOKUP($D81,[2]Sheet1!$C$2:$D$36,2,0)</f>
        <v>#N/A</v>
      </c>
      <c r="AM81" s="37" t="s">
        <v>610</v>
      </c>
      <c r="AN81" s="54" t="s">
        <v>611</v>
      </c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</row>
    <row r="82" spans="1:54" ht="15" customHeight="1">
      <c r="A82" s="33" t="s">
        <v>350</v>
      </c>
      <c r="B82" s="37">
        <v>131001</v>
      </c>
      <c r="C82" s="37" t="s">
        <v>226</v>
      </c>
      <c r="D82" s="37" t="s">
        <v>612</v>
      </c>
      <c r="E82" s="37" t="s">
        <v>228</v>
      </c>
      <c r="F82" s="37"/>
      <c r="G82" s="34" t="s">
        <v>613</v>
      </c>
      <c r="H82" s="34" t="s">
        <v>614</v>
      </c>
      <c r="I82" s="37" t="s">
        <v>615</v>
      </c>
      <c r="J82" s="36">
        <v>41561</v>
      </c>
      <c r="K82" s="36"/>
      <c r="L82" s="36">
        <v>41869</v>
      </c>
      <c r="M82" s="37" t="s">
        <v>153</v>
      </c>
      <c r="N82" s="37" t="s">
        <v>616</v>
      </c>
      <c r="O82" s="37" t="s">
        <v>617</v>
      </c>
      <c r="P82" s="37"/>
      <c r="Q82" s="37" t="s">
        <v>209</v>
      </c>
      <c r="R82" s="36">
        <v>36574</v>
      </c>
      <c r="S82" s="37" t="s">
        <v>275</v>
      </c>
      <c r="T82" s="36">
        <v>37963</v>
      </c>
      <c r="U82" s="37"/>
      <c r="V82" s="36"/>
      <c r="W82" s="37"/>
      <c r="X82" s="37"/>
      <c r="Y82" s="37" t="s">
        <v>199</v>
      </c>
      <c r="Z82" s="37"/>
      <c r="AA82" s="37"/>
      <c r="AB82" s="37"/>
      <c r="AC82" s="39">
        <v>161</v>
      </c>
      <c r="AD82" s="37" t="str">
        <f t="shared" si="1"/>
        <v>13년 5개월</v>
      </c>
      <c r="AE82" s="39">
        <f ca="1">(재직자!$AL$1-J82)/30</f>
        <v>151.76666666666668</v>
      </c>
      <c r="AF82" s="37" t="str">
        <f t="shared" ca="1" si="2"/>
        <v>12년 7개월</v>
      </c>
      <c r="AG82" s="39">
        <f t="shared" ca="1" si="3"/>
        <v>312.76666666666665</v>
      </c>
      <c r="AH82" s="39" t="str">
        <f t="shared" ca="1" si="4"/>
        <v>26년 0개월</v>
      </c>
      <c r="AI82" s="44" t="s">
        <v>618</v>
      </c>
      <c r="AJ82" s="55" t="s">
        <v>619</v>
      </c>
      <c r="AK82" s="53" t="s">
        <v>620</v>
      </c>
      <c r="AL82" s="37" t="e">
        <f>+VLOOKUP($D82,[2]Sheet1!$C$2:$D$36,2,0)</f>
        <v>#N/A</v>
      </c>
      <c r="AM82" s="37" t="s">
        <v>621</v>
      </c>
      <c r="AN82" s="54" t="s">
        <v>622</v>
      </c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</row>
    <row r="83" spans="1:54" ht="15" customHeight="1">
      <c r="A83" s="33" t="s">
        <v>623</v>
      </c>
      <c r="B83" s="37">
        <v>131201</v>
      </c>
      <c r="C83" s="37" t="s">
        <v>226</v>
      </c>
      <c r="D83" s="37" t="s">
        <v>624</v>
      </c>
      <c r="E83" s="37" t="s">
        <v>625</v>
      </c>
      <c r="F83" s="37"/>
      <c r="G83" s="34" t="s">
        <v>613</v>
      </c>
      <c r="H83" s="34" t="s">
        <v>613</v>
      </c>
      <c r="I83" s="37" t="s">
        <v>626</v>
      </c>
      <c r="J83" s="36">
        <v>41609</v>
      </c>
      <c r="K83" s="36"/>
      <c r="L83" s="36">
        <v>41882</v>
      </c>
      <c r="M83" s="37" t="s">
        <v>196</v>
      </c>
      <c r="N83" s="37" t="s">
        <v>318</v>
      </c>
      <c r="O83" s="37" t="s">
        <v>627</v>
      </c>
      <c r="P83" s="37"/>
      <c r="Q83" s="37" t="s">
        <v>198</v>
      </c>
      <c r="R83" s="36"/>
      <c r="S83" s="37"/>
      <c r="T83" s="36"/>
      <c r="U83" s="37"/>
      <c r="V83" s="36"/>
      <c r="W83" s="37"/>
      <c r="X83" s="37"/>
      <c r="Y83" s="37"/>
      <c r="Z83" s="37"/>
      <c r="AA83" s="37"/>
      <c r="AB83" s="37"/>
      <c r="AC83" s="39"/>
      <c r="AD83" s="37" t="str">
        <f t="shared" si="1"/>
        <v>0년 0개월</v>
      </c>
      <c r="AE83" s="39">
        <f ca="1">(재직자!$AL$1-J83)/30</f>
        <v>150.16666666666666</v>
      </c>
      <c r="AF83" s="37" t="str">
        <f t="shared" ca="1" si="2"/>
        <v>12년 6개월</v>
      </c>
      <c r="AG83" s="39">
        <f t="shared" ca="1" si="3"/>
        <v>150.16666666666666</v>
      </c>
      <c r="AH83" s="39" t="str">
        <f t="shared" ca="1" si="4"/>
        <v>12년 6개월</v>
      </c>
      <c r="AI83" s="56" t="s">
        <v>628</v>
      </c>
      <c r="AJ83" s="55" t="s">
        <v>629</v>
      </c>
      <c r="AK83" s="53" t="s">
        <v>630</v>
      </c>
      <c r="AL83" s="37" t="e">
        <f>+VLOOKUP($D83,[2]Sheet1!$C$2:$D$36,2,0)</f>
        <v>#N/A</v>
      </c>
      <c r="AM83" s="37" t="s">
        <v>631</v>
      </c>
      <c r="AN83" s="54" t="s">
        <v>632</v>
      </c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</row>
    <row r="84" spans="1:54" ht="15" customHeight="1">
      <c r="A84" s="33" t="s">
        <v>633</v>
      </c>
      <c r="B84" s="37">
        <v>131202</v>
      </c>
      <c r="C84" s="37" t="s">
        <v>193</v>
      </c>
      <c r="D84" s="37" t="s">
        <v>634</v>
      </c>
      <c r="E84" s="37" t="s">
        <v>51</v>
      </c>
      <c r="F84" s="37"/>
      <c r="G84" s="34" t="s">
        <v>61</v>
      </c>
      <c r="H84" s="34" t="s">
        <v>635</v>
      </c>
      <c r="I84" s="37" t="s">
        <v>636</v>
      </c>
      <c r="J84" s="36">
        <v>41610</v>
      </c>
      <c r="K84" s="36"/>
      <c r="L84" s="36">
        <v>41790</v>
      </c>
      <c r="M84" s="37" t="s">
        <v>146</v>
      </c>
      <c r="N84" s="37" t="s">
        <v>637</v>
      </c>
      <c r="O84" s="37" t="s">
        <v>638</v>
      </c>
      <c r="P84" s="37"/>
      <c r="Q84" s="37" t="s">
        <v>265</v>
      </c>
      <c r="R84" s="36">
        <v>41313</v>
      </c>
      <c r="S84" s="37"/>
      <c r="T84" s="37"/>
      <c r="U84" s="37"/>
      <c r="V84" s="37"/>
      <c r="W84" s="37"/>
      <c r="X84" s="37"/>
      <c r="Y84" s="37" t="s">
        <v>210</v>
      </c>
      <c r="Z84" s="37"/>
      <c r="AA84" s="37"/>
      <c r="AB84" s="37"/>
      <c r="AC84" s="39"/>
      <c r="AD84" s="37" t="str">
        <f t="shared" si="1"/>
        <v>0년 0개월</v>
      </c>
      <c r="AE84" s="39">
        <f ca="1">(재직자!$AL$1-J84)/30</f>
        <v>150.13333333333333</v>
      </c>
      <c r="AF84" s="39" t="str">
        <f t="shared" ca="1" si="2"/>
        <v>12년 6개월</v>
      </c>
      <c r="AG84" s="39">
        <f t="shared" ca="1" si="3"/>
        <v>150.13333333333333</v>
      </c>
      <c r="AH84" s="39" t="str">
        <f t="shared" ca="1" si="4"/>
        <v>12년 6개월</v>
      </c>
      <c r="AI84" s="44" t="s">
        <v>639</v>
      </c>
      <c r="AJ84" s="37" t="s">
        <v>640</v>
      </c>
      <c r="AK84" s="53" t="s">
        <v>641</v>
      </c>
      <c r="AL84" s="37" t="e">
        <f>+VLOOKUP($D84,[2]Sheet1!$C$2:$D$36,2,0)</f>
        <v>#N/A</v>
      </c>
      <c r="AM84" s="37" t="s">
        <v>642</v>
      </c>
      <c r="AN84" s="54">
        <v>8.2899999999999991</v>
      </c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</row>
    <row r="85" spans="1:54" ht="15" customHeight="1">
      <c r="A85" s="33" t="s">
        <v>643</v>
      </c>
      <c r="B85" s="37">
        <v>140103</v>
      </c>
      <c r="C85" s="37" t="s">
        <v>193</v>
      </c>
      <c r="D85" s="37" t="s">
        <v>644</v>
      </c>
      <c r="E85" s="37" t="s">
        <v>44</v>
      </c>
      <c r="F85" s="37"/>
      <c r="G85" s="34" t="s">
        <v>61</v>
      </c>
      <c r="H85" s="37" t="s">
        <v>635</v>
      </c>
      <c r="I85" s="37" t="s">
        <v>645</v>
      </c>
      <c r="J85" s="36">
        <v>41659</v>
      </c>
      <c r="K85" s="36"/>
      <c r="L85" s="36">
        <v>41820</v>
      </c>
      <c r="M85" s="37" t="s">
        <v>153</v>
      </c>
      <c r="N85" s="37" t="s">
        <v>646</v>
      </c>
      <c r="O85" s="37" t="s">
        <v>413</v>
      </c>
      <c r="P85" s="37"/>
      <c r="Q85" s="37" t="s">
        <v>209</v>
      </c>
      <c r="R85" s="36">
        <v>39135</v>
      </c>
      <c r="S85" s="37" t="s">
        <v>275</v>
      </c>
      <c r="T85" s="36">
        <v>38950</v>
      </c>
      <c r="U85" s="37"/>
      <c r="V85" s="37"/>
      <c r="W85" s="37"/>
      <c r="X85" s="37"/>
      <c r="Y85" s="37" t="s">
        <v>210</v>
      </c>
      <c r="Z85" s="37"/>
      <c r="AA85" s="37"/>
      <c r="AB85" s="37"/>
      <c r="AC85" s="39"/>
      <c r="AD85" s="37" t="str">
        <f t="shared" si="1"/>
        <v>0년 0개월</v>
      </c>
      <c r="AE85" s="39">
        <f ca="1">(재직자!$AL$1-J85)/30</f>
        <v>148.5</v>
      </c>
      <c r="AF85" s="37" t="str">
        <f t="shared" ca="1" si="2"/>
        <v>12년 4개월</v>
      </c>
      <c r="AG85" s="39">
        <f t="shared" ca="1" si="3"/>
        <v>148.5</v>
      </c>
      <c r="AH85" s="37" t="str">
        <f t="shared" ca="1" si="4"/>
        <v>12년 4개월</v>
      </c>
      <c r="AI85" s="44" t="s">
        <v>647</v>
      </c>
      <c r="AJ85" s="37" t="s">
        <v>648</v>
      </c>
      <c r="AK85" s="53" t="s">
        <v>649</v>
      </c>
      <c r="AL85" s="37"/>
      <c r="AM85" s="37" t="s">
        <v>650</v>
      </c>
      <c r="AN85" s="54" t="s">
        <v>651</v>
      </c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</row>
    <row r="86" spans="1:54" ht="15" customHeight="1">
      <c r="A86" s="33" t="s">
        <v>652</v>
      </c>
      <c r="B86" s="37">
        <v>131102</v>
      </c>
      <c r="C86" s="37" t="s">
        <v>226</v>
      </c>
      <c r="D86" s="37" t="s">
        <v>653</v>
      </c>
      <c r="E86" s="37" t="s">
        <v>228</v>
      </c>
      <c r="F86" s="37"/>
      <c r="G86" s="34" t="s">
        <v>613</v>
      </c>
      <c r="H86" s="34" t="s">
        <v>654</v>
      </c>
      <c r="I86" s="37" t="s">
        <v>655</v>
      </c>
      <c r="J86" s="36">
        <v>41628</v>
      </c>
      <c r="K86" s="36"/>
      <c r="L86" s="36">
        <v>41912</v>
      </c>
      <c r="M86" s="37" t="s">
        <v>153</v>
      </c>
      <c r="N86" s="37" t="s">
        <v>656</v>
      </c>
      <c r="O86" s="37" t="s">
        <v>657</v>
      </c>
      <c r="P86" s="37"/>
      <c r="Q86" s="37" t="s">
        <v>198</v>
      </c>
      <c r="R86" s="36">
        <v>36216</v>
      </c>
      <c r="S86" s="37"/>
      <c r="T86" s="36"/>
      <c r="U86" s="37"/>
      <c r="V86" s="36"/>
      <c r="W86" s="37"/>
      <c r="X86" s="37"/>
      <c r="Y86" s="37"/>
      <c r="Z86" s="37"/>
      <c r="AA86" s="37"/>
      <c r="AB86" s="37"/>
      <c r="AC86" s="39">
        <v>168</v>
      </c>
      <c r="AD86" s="37" t="str">
        <f t="shared" si="1"/>
        <v>14년 0개월</v>
      </c>
      <c r="AE86" s="39">
        <f ca="1">(재직자!$AL$1-J86)/30</f>
        <v>149.53333333333333</v>
      </c>
      <c r="AF86" s="37" t="str">
        <f t="shared" ca="1" si="2"/>
        <v>12년 5개월</v>
      </c>
      <c r="AG86" s="39">
        <f t="shared" ca="1" si="3"/>
        <v>317.5333333333333</v>
      </c>
      <c r="AH86" s="39" t="str">
        <f t="shared" ca="1" si="4"/>
        <v>26년 5개월</v>
      </c>
      <c r="AI86" s="44" t="s">
        <v>658</v>
      </c>
      <c r="AJ86" s="55" t="s">
        <v>659</v>
      </c>
      <c r="AK86" s="50" t="s">
        <v>660</v>
      </c>
      <c r="AL86" s="37" t="e">
        <f>+VLOOKUP($D86,[2]Sheet1!$C$2:$D$36,2,0)</f>
        <v>#N/A</v>
      </c>
      <c r="AM86" s="37" t="s">
        <v>661</v>
      </c>
      <c r="AN86" s="54" t="s">
        <v>662</v>
      </c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</row>
    <row r="87" spans="1:54" ht="15" customHeight="1">
      <c r="A87" s="33" t="s">
        <v>179</v>
      </c>
      <c r="B87" s="33" t="s">
        <v>663</v>
      </c>
      <c r="C87" s="33" t="s">
        <v>226</v>
      </c>
      <c r="D87" s="34" t="s">
        <v>664</v>
      </c>
      <c r="E87" s="34" t="s">
        <v>88</v>
      </c>
      <c r="F87" s="34"/>
      <c r="G87" s="34" t="s">
        <v>613</v>
      </c>
      <c r="H87" s="34" t="s">
        <v>654</v>
      </c>
      <c r="I87" s="35" t="s">
        <v>665</v>
      </c>
      <c r="J87" s="36">
        <v>40878</v>
      </c>
      <c r="K87" s="36">
        <v>41275</v>
      </c>
      <c r="L87" s="36">
        <v>41912</v>
      </c>
      <c r="M87" s="37" t="s">
        <v>153</v>
      </c>
      <c r="N87" s="37" t="s">
        <v>666</v>
      </c>
      <c r="O87" s="38" t="s">
        <v>667</v>
      </c>
      <c r="P87" s="38"/>
      <c r="Q87" s="37" t="s">
        <v>209</v>
      </c>
      <c r="R87" s="36">
        <v>39499</v>
      </c>
      <c r="S87" s="37"/>
      <c r="T87" s="37"/>
      <c r="U87" s="37"/>
      <c r="V87" s="37"/>
      <c r="W87" s="37"/>
      <c r="X87" s="37"/>
      <c r="Y87" s="37"/>
      <c r="Z87" s="37"/>
      <c r="AA87" s="36"/>
      <c r="AB87" s="37"/>
      <c r="AC87" s="39">
        <v>70</v>
      </c>
      <c r="AD87" s="38" t="str">
        <f t="shared" si="1"/>
        <v>5년 10개월</v>
      </c>
      <c r="AE87" s="39">
        <f ca="1">(재직자!$AL$1-J87)/30</f>
        <v>174.53333333333333</v>
      </c>
      <c r="AF87" s="39" t="str">
        <f t="shared" ca="1" si="2"/>
        <v>14년 6개월</v>
      </c>
      <c r="AG87" s="39">
        <f t="shared" ca="1" si="3"/>
        <v>244.53333333333333</v>
      </c>
      <c r="AH87" s="39" t="str">
        <f t="shared" ca="1" si="4"/>
        <v>20년 4개월</v>
      </c>
      <c r="AI87" s="43" t="s">
        <v>668</v>
      </c>
      <c r="AJ87" s="33" t="s">
        <v>669</v>
      </c>
      <c r="AK87" s="50" t="s">
        <v>670</v>
      </c>
      <c r="AL87" s="37"/>
      <c r="AM87" s="37" t="s">
        <v>671</v>
      </c>
      <c r="AN87" s="54">
        <v>5.23</v>
      </c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</row>
    <row r="88" spans="1:54" ht="15" customHeight="1">
      <c r="A88" s="33" t="s">
        <v>672</v>
      </c>
      <c r="B88" s="33" t="s">
        <v>673</v>
      </c>
      <c r="C88" s="33" t="s">
        <v>193</v>
      </c>
      <c r="D88" s="51" t="s">
        <v>674</v>
      </c>
      <c r="E88" s="34" t="s">
        <v>353</v>
      </c>
      <c r="F88" s="34"/>
      <c r="G88" s="34" t="s">
        <v>61</v>
      </c>
      <c r="H88" s="34" t="s">
        <v>582</v>
      </c>
      <c r="I88" s="35" t="s">
        <v>675</v>
      </c>
      <c r="J88" s="36">
        <v>41085</v>
      </c>
      <c r="K88" s="36">
        <v>41640</v>
      </c>
      <c r="L88" s="36">
        <v>41985</v>
      </c>
      <c r="M88" s="37" t="s">
        <v>153</v>
      </c>
      <c r="N88" s="37" t="s">
        <v>308</v>
      </c>
      <c r="O88" s="38" t="s">
        <v>264</v>
      </c>
      <c r="P88" s="38"/>
      <c r="Q88" s="37" t="s">
        <v>265</v>
      </c>
      <c r="R88" s="36">
        <v>37659</v>
      </c>
      <c r="S88" s="37" t="s">
        <v>275</v>
      </c>
      <c r="T88" s="36">
        <v>40872</v>
      </c>
      <c r="U88" s="37"/>
      <c r="V88" s="36"/>
      <c r="W88" s="37"/>
      <c r="X88" s="37"/>
      <c r="Y88" s="37" t="s">
        <v>276</v>
      </c>
      <c r="Z88" s="37"/>
      <c r="AA88" s="36"/>
      <c r="AB88" s="37"/>
      <c r="AC88" s="39">
        <v>80</v>
      </c>
      <c r="AD88" s="38" t="str">
        <f t="shared" si="1"/>
        <v>6년 8개월</v>
      </c>
      <c r="AE88" s="39">
        <f ca="1">(재직자!$AL$1-J88)/30</f>
        <v>167.63333333333333</v>
      </c>
      <c r="AF88" s="39" t="str">
        <f t="shared" ca="1" si="2"/>
        <v>13년 11개월</v>
      </c>
      <c r="AG88" s="39">
        <f t="shared" ca="1" si="3"/>
        <v>247.63333333333333</v>
      </c>
      <c r="AH88" s="39" t="str">
        <f t="shared" ca="1" si="4"/>
        <v>20년 7개월</v>
      </c>
      <c r="AI88" s="43" t="s">
        <v>676</v>
      </c>
      <c r="AJ88" s="33" t="s">
        <v>677</v>
      </c>
      <c r="AK88" s="44" t="s">
        <v>678</v>
      </c>
      <c r="AL88" s="37" t="e">
        <f>+VLOOKUP($D88,[2]Sheet1!$C$2:$D$36,2,0)</f>
        <v>#N/A</v>
      </c>
      <c r="AM88" s="37" t="s">
        <v>679</v>
      </c>
      <c r="AN88" s="54">
        <v>6.09</v>
      </c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</row>
    <row r="89" spans="1:54" ht="15" customHeight="1">
      <c r="A89" s="33" t="s">
        <v>680</v>
      </c>
      <c r="B89" s="37">
        <v>131103</v>
      </c>
      <c r="C89" s="37" t="s">
        <v>193</v>
      </c>
      <c r="D89" s="57" t="s">
        <v>681</v>
      </c>
      <c r="E89" s="37" t="s">
        <v>228</v>
      </c>
      <c r="F89" s="37"/>
      <c r="G89" s="34" t="s">
        <v>613</v>
      </c>
      <c r="H89" s="34" t="s">
        <v>682</v>
      </c>
      <c r="I89" s="37" t="s">
        <v>683</v>
      </c>
      <c r="J89" s="36">
        <v>41598</v>
      </c>
      <c r="K89" s="36"/>
      <c r="L89" s="36">
        <v>42004</v>
      </c>
      <c r="M89" s="37" t="s">
        <v>153</v>
      </c>
      <c r="N89" s="37" t="s">
        <v>506</v>
      </c>
      <c r="O89" s="37" t="s">
        <v>684</v>
      </c>
      <c r="P89" s="37"/>
      <c r="Q89" s="37" t="s">
        <v>198</v>
      </c>
      <c r="R89" s="36">
        <v>34021</v>
      </c>
      <c r="S89" s="37"/>
      <c r="T89" s="36"/>
      <c r="U89" s="37"/>
      <c r="V89" s="36"/>
      <c r="W89" s="37"/>
      <c r="X89" s="37"/>
      <c r="Y89" s="37" t="s">
        <v>199</v>
      </c>
      <c r="Z89" s="37"/>
      <c r="AA89" s="37"/>
      <c r="AB89" s="37"/>
      <c r="AC89" s="39">
        <v>193</v>
      </c>
      <c r="AD89" s="37" t="str">
        <f t="shared" si="1"/>
        <v>16년 1개월</v>
      </c>
      <c r="AE89" s="39">
        <f ca="1">(재직자!$AL$1-J89)/30</f>
        <v>150.53333333333333</v>
      </c>
      <c r="AF89" s="37" t="str">
        <f t="shared" ca="1" si="2"/>
        <v>12년 6개월</v>
      </c>
      <c r="AG89" s="39">
        <f t="shared" ca="1" si="3"/>
        <v>343.5333333333333</v>
      </c>
      <c r="AH89" s="39" t="str">
        <f t="shared" ca="1" si="4"/>
        <v>28년 7개월</v>
      </c>
      <c r="AI89" s="44" t="s">
        <v>685</v>
      </c>
      <c r="AJ89" s="55" t="s">
        <v>686</v>
      </c>
      <c r="AK89" s="50" t="s">
        <v>687</v>
      </c>
      <c r="AL89" s="37" t="e">
        <f>+VLOOKUP($D89,[2]Sheet1!$C$2:$D$36,2,0)</f>
        <v>#N/A</v>
      </c>
      <c r="AM89" s="37" t="s">
        <v>688</v>
      </c>
      <c r="AN89" s="54" t="s">
        <v>689</v>
      </c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</row>
    <row r="90" spans="1:54" ht="15" customHeight="1">
      <c r="A90" s="33" t="s">
        <v>652</v>
      </c>
      <c r="B90" s="37">
        <v>131203</v>
      </c>
      <c r="C90" s="37" t="s">
        <v>193</v>
      </c>
      <c r="D90" s="57" t="s">
        <v>690</v>
      </c>
      <c r="E90" s="37" t="s">
        <v>34</v>
      </c>
      <c r="F90" s="37"/>
      <c r="G90" s="34" t="s">
        <v>613</v>
      </c>
      <c r="H90" s="37" t="s">
        <v>682</v>
      </c>
      <c r="I90" s="37" t="s">
        <v>691</v>
      </c>
      <c r="J90" s="36">
        <v>41611</v>
      </c>
      <c r="K90" s="36"/>
      <c r="L90" s="36">
        <v>42004</v>
      </c>
      <c r="M90" s="37" t="s">
        <v>146</v>
      </c>
      <c r="N90" s="37" t="s">
        <v>692</v>
      </c>
      <c r="O90" s="37" t="s">
        <v>627</v>
      </c>
      <c r="P90" s="37"/>
      <c r="Q90" s="37" t="s">
        <v>265</v>
      </c>
      <c r="R90" s="36">
        <v>37305</v>
      </c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9">
        <v>130</v>
      </c>
      <c r="AD90" s="37" t="str">
        <f t="shared" si="1"/>
        <v>10년 10개월</v>
      </c>
      <c r="AE90" s="39">
        <f ca="1">(재직자!$AL$1-J90)/30</f>
        <v>150.1</v>
      </c>
      <c r="AF90" s="37" t="str">
        <f t="shared" ca="1" si="2"/>
        <v>12년 6개월</v>
      </c>
      <c r="AG90" s="39">
        <f t="shared" ca="1" si="3"/>
        <v>280.10000000000002</v>
      </c>
      <c r="AH90" s="39" t="str">
        <f t="shared" ca="1" si="4"/>
        <v>23년 4개월</v>
      </c>
      <c r="AI90" s="44" t="s">
        <v>693</v>
      </c>
      <c r="AJ90" s="37" t="s">
        <v>694</v>
      </c>
      <c r="AK90" s="50" t="s">
        <v>695</v>
      </c>
      <c r="AL90" s="37"/>
      <c r="AM90" s="37" t="s">
        <v>696</v>
      </c>
      <c r="AN90" s="54" t="s">
        <v>697</v>
      </c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</row>
    <row r="91" spans="1:54" ht="15" customHeight="1">
      <c r="A91" s="33" t="s">
        <v>350</v>
      </c>
      <c r="B91" s="37">
        <v>131204</v>
      </c>
      <c r="C91" s="37" t="s">
        <v>193</v>
      </c>
      <c r="D91" s="57" t="s">
        <v>698</v>
      </c>
      <c r="E91" s="37" t="s">
        <v>88</v>
      </c>
      <c r="F91" s="37"/>
      <c r="G91" s="34" t="s">
        <v>613</v>
      </c>
      <c r="H91" s="37" t="s">
        <v>682</v>
      </c>
      <c r="I91" s="37" t="s">
        <v>699</v>
      </c>
      <c r="J91" s="36">
        <v>41611</v>
      </c>
      <c r="K91" s="36"/>
      <c r="L91" s="36">
        <v>42004</v>
      </c>
      <c r="M91" s="37" t="s">
        <v>146</v>
      </c>
      <c r="N91" s="37" t="s">
        <v>308</v>
      </c>
      <c r="O91" s="37" t="s">
        <v>700</v>
      </c>
      <c r="P91" s="37"/>
      <c r="Q91" s="37" t="s">
        <v>265</v>
      </c>
      <c r="R91" s="36">
        <v>36574</v>
      </c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9">
        <v>130</v>
      </c>
      <c r="AD91" s="38" t="str">
        <f t="shared" si="1"/>
        <v>10년 10개월</v>
      </c>
      <c r="AE91" s="39">
        <f ca="1">(재직자!$AL$1-J91)/30</f>
        <v>150.1</v>
      </c>
      <c r="AF91" s="39" t="str">
        <f t="shared" ca="1" si="2"/>
        <v>12년 6개월</v>
      </c>
      <c r="AG91" s="39">
        <f t="shared" ca="1" si="3"/>
        <v>280.10000000000002</v>
      </c>
      <c r="AH91" s="39" t="str">
        <f t="shared" ca="1" si="4"/>
        <v>23년 4개월</v>
      </c>
      <c r="AI91" s="44" t="s">
        <v>701</v>
      </c>
      <c r="AJ91" s="37" t="s">
        <v>702</v>
      </c>
      <c r="AK91" s="50" t="s">
        <v>703</v>
      </c>
      <c r="AL91" s="37"/>
      <c r="AM91" s="37" t="s">
        <v>704</v>
      </c>
      <c r="AN91" s="54" t="s">
        <v>705</v>
      </c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</row>
    <row r="92" spans="1:54" ht="15" customHeight="1">
      <c r="A92" s="33" t="s">
        <v>292</v>
      </c>
      <c r="B92" s="37">
        <v>140701</v>
      </c>
      <c r="C92" s="37" t="s">
        <v>226</v>
      </c>
      <c r="D92" s="57" t="s">
        <v>706</v>
      </c>
      <c r="E92" s="37" t="s">
        <v>139</v>
      </c>
      <c r="F92" s="37"/>
      <c r="G92" s="37" t="s">
        <v>707</v>
      </c>
      <c r="H92" s="37" t="s">
        <v>707</v>
      </c>
      <c r="I92" s="37" t="s">
        <v>708</v>
      </c>
      <c r="J92" s="36">
        <v>41821</v>
      </c>
      <c r="K92" s="36"/>
      <c r="L92" s="36">
        <v>41973</v>
      </c>
      <c r="M92" s="37" t="s">
        <v>196</v>
      </c>
      <c r="N92" s="37" t="s">
        <v>709</v>
      </c>
      <c r="O92" s="37" t="s">
        <v>710</v>
      </c>
      <c r="P92" s="37" t="s">
        <v>711</v>
      </c>
      <c r="Q92" s="37" t="s">
        <v>198</v>
      </c>
      <c r="R92" s="36">
        <v>39139</v>
      </c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9">
        <v>175</v>
      </c>
      <c r="AD92" s="37" t="str">
        <f t="shared" si="1"/>
        <v>14년 7개월</v>
      </c>
      <c r="AE92" s="39">
        <f ca="1">(재직자!$AL$1-J92)/30</f>
        <v>143.1</v>
      </c>
      <c r="AF92" s="37" t="str">
        <f t="shared" ca="1" si="2"/>
        <v>11년 11개월</v>
      </c>
      <c r="AG92" s="39">
        <f t="shared" ca="1" si="3"/>
        <v>318.10000000000002</v>
      </c>
      <c r="AH92" s="37" t="str">
        <f t="shared" ca="1" si="4"/>
        <v>26년 6개월</v>
      </c>
      <c r="AI92" s="44" t="s">
        <v>712</v>
      </c>
      <c r="AJ92" s="37" t="s">
        <v>713</v>
      </c>
      <c r="AK92" s="50" t="s">
        <v>714</v>
      </c>
      <c r="AL92" s="37"/>
      <c r="AM92" s="37" t="s">
        <v>715</v>
      </c>
      <c r="AN92" s="54" t="s">
        <v>716</v>
      </c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</row>
    <row r="93" spans="1:54" ht="15" customHeight="1">
      <c r="A93" s="33" t="s">
        <v>301</v>
      </c>
      <c r="B93" s="37">
        <v>140703</v>
      </c>
      <c r="C93" s="37" t="s">
        <v>193</v>
      </c>
      <c r="D93" s="57" t="s">
        <v>717</v>
      </c>
      <c r="E93" s="37" t="s">
        <v>44</v>
      </c>
      <c r="F93" s="37"/>
      <c r="G93" s="37" t="s">
        <v>707</v>
      </c>
      <c r="H93" s="37" t="s">
        <v>707</v>
      </c>
      <c r="I93" s="37" t="s">
        <v>718</v>
      </c>
      <c r="J93" s="36">
        <v>41821</v>
      </c>
      <c r="K93" s="36"/>
      <c r="L93" s="36">
        <v>41973</v>
      </c>
      <c r="M93" s="37" t="s">
        <v>146</v>
      </c>
      <c r="N93" s="37" t="s">
        <v>719</v>
      </c>
      <c r="O93" s="37" t="s">
        <v>720</v>
      </c>
      <c r="P93" s="37" t="s">
        <v>721</v>
      </c>
      <c r="Q93" s="37" t="s">
        <v>265</v>
      </c>
      <c r="R93" s="37"/>
      <c r="S93" s="37"/>
      <c r="T93" s="37"/>
      <c r="U93" s="37" t="s">
        <v>722</v>
      </c>
      <c r="V93" s="36">
        <v>40725</v>
      </c>
      <c r="W93" s="37"/>
      <c r="X93" s="37"/>
      <c r="Y93" s="37"/>
      <c r="Z93" s="37"/>
      <c r="AA93" s="37"/>
      <c r="AB93" s="37"/>
      <c r="AC93" s="39">
        <v>54</v>
      </c>
      <c r="AD93" s="37" t="str">
        <f t="shared" si="1"/>
        <v>4년 6개월</v>
      </c>
      <c r="AE93" s="39">
        <f ca="1">(재직자!$AL$1-J93)/30</f>
        <v>143.1</v>
      </c>
      <c r="AF93" s="37" t="str">
        <f t="shared" ca="1" si="2"/>
        <v>11년 11개월</v>
      </c>
      <c r="AG93" s="39">
        <f t="shared" ca="1" si="3"/>
        <v>197.1</v>
      </c>
      <c r="AH93" s="37" t="str">
        <f t="shared" ca="1" si="4"/>
        <v>16년 5개월</v>
      </c>
      <c r="AI93" s="44" t="s">
        <v>723</v>
      </c>
      <c r="AJ93" s="37" t="s">
        <v>724</v>
      </c>
      <c r="AK93" s="50" t="s">
        <v>725</v>
      </c>
      <c r="AL93" s="37"/>
      <c r="AM93" s="37" t="s">
        <v>726</v>
      </c>
      <c r="AN93" s="54" t="s">
        <v>727</v>
      </c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</row>
    <row r="94" spans="1:54" ht="15" customHeight="1">
      <c r="A94" s="33" t="s">
        <v>728</v>
      </c>
      <c r="B94" s="37">
        <v>140901</v>
      </c>
      <c r="C94" s="37" t="s">
        <v>193</v>
      </c>
      <c r="D94" s="57" t="s">
        <v>729</v>
      </c>
      <c r="E94" s="37" t="s">
        <v>51</v>
      </c>
      <c r="F94" s="37"/>
      <c r="G94" s="34" t="s">
        <v>707</v>
      </c>
      <c r="H94" s="34" t="s">
        <v>707</v>
      </c>
      <c r="I94" s="37" t="s">
        <v>730</v>
      </c>
      <c r="J94" s="36">
        <v>41893</v>
      </c>
      <c r="K94" s="36"/>
      <c r="L94" s="36">
        <v>41973</v>
      </c>
      <c r="M94" s="37" t="s">
        <v>153</v>
      </c>
      <c r="N94" s="37" t="s">
        <v>731</v>
      </c>
      <c r="O94" s="37" t="s">
        <v>457</v>
      </c>
      <c r="P94" s="37" t="s">
        <v>711</v>
      </c>
      <c r="Q94" s="37" t="s">
        <v>209</v>
      </c>
      <c r="R94" s="36">
        <v>41327</v>
      </c>
      <c r="S94" s="37" t="s">
        <v>405</v>
      </c>
      <c r="T94" s="36">
        <v>41896</v>
      </c>
      <c r="U94" s="37" t="s">
        <v>732</v>
      </c>
      <c r="V94" s="36">
        <v>41896</v>
      </c>
      <c r="W94" s="37"/>
      <c r="X94" s="37"/>
      <c r="Y94" s="37"/>
      <c r="Z94" s="37"/>
      <c r="AA94" s="37"/>
      <c r="AB94" s="37"/>
      <c r="AC94" s="39">
        <v>0</v>
      </c>
      <c r="AD94" s="37" t="str">
        <f t="shared" si="1"/>
        <v>0년 0개월</v>
      </c>
      <c r="AE94" s="39">
        <f ca="1">(재직자!$AL$1-J94)/30</f>
        <v>140.69999999999999</v>
      </c>
      <c r="AF94" s="37" t="str">
        <f t="shared" ca="1" si="2"/>
        <v>11년 8개월</v>
      </c>
      <c r="AG94" s="39">
        <f t="shared" ca="1" si="3"/>
        <v>140.69999999999999</v>
      </c>
      <c r="AH94" s="37" t="str">
        <f t="shared" ca="1" si="4"/>
        <v>11년 8개월</v>
      </c>
      <c r="AI94" s="58" t="s">
        <v>733</v>
      </c>
      <c r="AJ94" s="37" t="s">
        <v>734</v>
      </c>
      <c r="AK94" s="50" t="s">
        <v>735</v>
      </c>
      <c r="AL94" s="37"/>
      <c r="AM94" s="37" t="s">
        <v>736</v>
      </c>
      <c r="AN94" s="54" t="s">
        <v>737</v>
      </c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</row>
    <row r="95" spans="1:54" ht="15" customHeight="1">
      <c r="A95" s="33" t="s">
        <v>738</v>
      </c>
      <c r="B95" s="37">
        <v>140902</v>
      </c>
      <c r="C95" s="37" t="s">
        <v>193</v>
      </c>
      <c r="D95" s="57" t="s">
        <v>739</v>
      </c>
      <c r="E95" s="37" t="s">
        <v>51</v>
      </c>
      <c r="F95" s="37"/>
      <c r="G95" s="34" t="s">
        <v>707</v>
      </c>
      <c r="H95" s="34" t="s">
        <v>707</v>
      </c>
      <c r="I95" s="37" t="s">
        <v>740</v>
      </c>
      <c r="J95" s="36">
        <v>41904</v>
      </c>
      <c r="K95" s="36"/>
      <c r="L95" s="36">
        <v>41973</v>
      </c>
      <c r="M95" s="37" t="s">
        <v>153</v>
      </c>
      <c r="N95" s="37" t="s">
        <v>741</v>
      </c>
      <c r="O95" s="37" t="s">
        <v>742</v>
      </c>
      <c r="P95" s="37" t="s">
        <v>711</v>
      </c>
      <c r="Q95" s="37" t="s">
        <v>209</v>
      </c>
      <c r="R95" s="36">
        <v>40589</v>
      </c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9">
        <v>0</v>
      </c>
      <c r="AD95" s="37" t="str">
        <f t="shared" si="1"/>
        <v>0년 0개월</v>
      </c>
      <c r="AE95" s="39">
        <f ca="1">(재직자!$AL$1-J95)/30</f>
        <v>140.33333333333334</v>
      </c>
      <c r="AF95" s="37" t="str">
        <f t="shared" ca="1" si="2"/>
        <v>11년 8개월</v>
      </c>
      <c r="AG95" s="39">
        <f t="shared" ca="1" si="3"/>
        <v>140.33333333333334</v>
      </c>
      <c r="AH95" s="37" t="str">
        <f t="shared" ca="1" si="4"/>
        <v>11년 8개월</v>
      </c>
      <c r="AI95" s="58" t="s">
        <v>743</v>
      </c>
      <c r="AJ95" s="37" t="s">
        <v>744</v>
      </c>
      <c r="AK95" s="50" t="s">
        <v>745</v>
      </c>
      <c r="AL95" s="37"/>
      <c r="AM95" s="37" t="s">
        <v>746</v>
      </c>
      <c r="AN95" s="54" t="s">
        <v>747</v>
      </c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</row>
    <row r="96" spans="1:54" ht="15" customHeight="1">
      <c r="A96" s="33" t="s">
        <v>748</v>
      </c>
      <c r="B96" s="37">
        <v>131205</v>
      </c>
      <c r="C96" s="37" t="s">
        <v>193</v>
      </c>
      <c r="D96" s="37" t="s">
        <v>749</v>
      </c>
      <c r="E96" s="37" t="s">
        <v>549</v>
      </c>
      <c r="F96" s="37"/>
      <c r="G96" s="34" t="s">
        <v>61</v>
      </c>
      <c r="H96" s="34" t="s">
        <v>750</v>
      </c>
      <c r="I96" s="37" t="s">
        <v>751</v>
      </c>
      <c r="J96" s="36">
        <v>41624</v>
      </c>
      <c r="K96" s="36"/>
      <c r="L96" s="36">
        <v>41958</v>
      </c>
      <c r="M96" s="37" t="s">
        <v>146</v>
      </c>
      <c r="N96" s="37" t="s">
        <v>752</v>
      </c>
      <c r="O96" s="37" t="s">
        <v>753</v>
      </c>
      <c r="P96" s="37"/>
      <c r="Q96" s="37" t="s">
        <v>265</v>
      </c>
      <c r="R96" s="36">
        <v>35836</v>
      </c>
      <c r="S96" s="37" t="s">
        <v>405</v>
      </c>
      <c r="T96" s="36">
        <v>35765</v>
      </c>
      <c r="U96" s="37"/>
      <c r="V96" s="37"/>
      <c r="W96" s="37"/>
      <c r="X96" s="37"/>
      <c r="Y96" s="37" t="s">
        <v>199</v>
      </c>
      <c r="Z96" s="37"/>
      <c r="AA96" s="37"/>
      <c r="AB96" s="37"/>
      <c r="AC96" s="39">
        <v>192</v>
      </c>
      <c r="AD96" s="37" t="str">
        <f t="shared" si="1"/>
        <v>16년 0개월</v>
      </c>
      <c r="AE96" s="39">
        <f ca="1">(재직자!$AL$1-J96)/30</f>
        <v>149.66666666666666</v>
      </c>
      <c r="AF96" s="39" t="str">
        <f t="shared" ca="1" si="2"/>
        <v>12년 5개월</v>
      </c>
      <c r="AG96" s="39">
        <f t="shared" ca="1" si="3"/>
        <v>341.66666666666663</v>
      </c>
      <c r="AH96" s="39" t="str">
        <f t="shared" ca="1" si="4"/>
        <v>28년 5개월</v>
      </c>
      <c r="AI96" s="44" t="s">
        <v>754</v>
      </c>
      <c r="AJ96" s="37" t="s">
        <v>755</v>
      </c>
      <c r="AK96" s="50" t="s">
        <v>756</v>
      </c>
      <c r="AL96" s="37" t="e">
        <f>+VLOOKUP($D96,[2]Sheet1!$C$2:$D$36,2,0)</f>
        <v>#N/A</v>
      </c>
      <c r="AM96" s="37" t="s">
        <v>757</v>
      </c>
      <c r="AN96" s="54" t="s">
        <v>758</v>
      </c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</row>
    <row r="97" spans="1:54" ht="15" customHeight="1">
      <c r="A97" s="33" t="s">
        <v>510</v>
      </c>
      <c r="B97" s="37">
        <v>140802</v>
      </c>
      <c r="C97" s="37" t="s">
        <v>226</v>
      </c>
      <c r="D97" s="37" t="s">
        <v>759</v>
      </c>
      <c r="E97" s="37" t="s">
        <v>34</v>
      </c>
      <c r="F97" s="37"/>
      <c r="G97" s="34" t="s">
        <v>760</v>
      </c>
      <c r="H97" s="37" t="s">
        <v>654</v>
      </c>
      <c r="I97" s="37" t="s">
        <v>761</v>
      </c>
      <c r="J97" s="36">
        <v>41855</v>
      </c>
      <c r="K97" s="36"/>
      <c r="L97" s="36">
        <v>42035</v>
      </c>
      <c r="M97" s="37" t="s">
        <v>153</v>
      </c>
      <c r="N97" s="37" t="s">
        <v>762</v>
      </c>
      <c r="O97" s="37" t="s">
        <v>413</v>
      </c>
      <c r="P97" s="37" t="s">
        <v>763</v>
      </c>
      <c r="Q97" s="37" t="s">
        <v>209</v>
      </c>
      <c r="R97" s="37"/>
      <c r="S97" s="37" t="s">
        <v>275</v>
      </c>
      <c r="T97" s="36">
        <v>37104</v>
      </c>
      <c r="U97" s="37" t="s">
        <v>764</v>
      </c>
      <c r="V97" s="36">
        <v>37577</v>
      </c>
      <c r="W97" s="37"/>
      <c r="X97" s="37"/>
      <c r="Y97" s="37"/>
      <c r="Z97" s="37"/>
      <c r="AA97" s="37"/>
      <c r="AB97" s="37"/>
      <c r="AC97" s="39">
        <v>145</v>
      </c>
      <c r="AD97" s="37" t="str">
        <f t="shared" si="1"/>
        <v>12년 1개월</v>
      </c>
      <c r="AE97" s="39">
        <f ca="1">(재직자!$AL$1-J97)/30</f>
        <v>141.96666666666667</v>
      </c>
      <c r="AF97" s="37" t="str">
        <f t="shared" ca="1" si="2"/>
        <v>11년 9개월</v>
      </c>
      <c r="AG97" s="39">
        <f t="shared" ca="1" si="3"/>
        <v>286.9666666666667</v>
      </c>
      <c r="AH97" s="37" t="str">
        <f t="shared" ca="1" si="4"/>
        <v>23년 10개월</v>
      </c>
      <c r="AI97" s="44" t="s">
        <v>765</v>
      </c>
      <c r="AJ97" s="37" t="s">
        <v>766</v>
      </c>
      <c r="AK97" s="50" t="s">
        <v>767</v>
      </c>
      <c r="AL97" s="37"/>
      <c r="AM97" s="37" t="s">
        <v>768</v>
      </c>
      <c r="AN97" s="54" t="s">
        <v>769</v>
      </c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</row>
    <row r="98" spans="1:54" ht="15" customHeight="1">
      <c r="A98" s="33" t="s">
        <v>301</v>
      </c>
      <c r="B98" s="37">
        <v>141004</v>
      </c>
      <c r="C98" s="37" t="s">
        <v>226</v>
      </c>
      <c r="D98" s="37" t="s">
        <v>770</v>
      </c>
      <c r="E98" s="37" t="s">
        <v>51</v>
      </c>
      <c r="F98" s="37"/>
      <c r="G98" s="34" t="s">
        <v>771</v>
      </c>
      <c r="H98" s="34" t="s">
        <v>771</v>
      </c>
      <c r="I98" s="37" t="s">
        <v>772</v>
      </c>
      <c r="J98" s="36">
        <v>41939</v>
      </c>
      <c r="K98" s="36"/>
      <c r="L98" s="36">
        <v>42027</v>
      </c>
      <c r="M98" s="37" t="s">
        <v>153</v>
      </c>
      <c r="N98" s="37" t="s">
        <v>255</v>
      </c>
      <c r="O98" s="37" t="s">
        <v>607</v>
      </c>
      <c r="P98" s="37" t="s">
        <v>711</v>
      </c>
      <c r="Q98" s="37" t="s">
        <v>209</v>
      </c>
      <c r="R98" s="36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9">
        <v>0</v>
      </c>
      <c r="AD98" s="37" t="str">
        <f t="shared" si="1"/>
        <v>0년 0개월</v>
      </c>
      <c r="AE98" s="39">
        <f ca="1">(재직자!$AL$1-J98)/30</f>
        <v>139.16666666666666</v>
      </c>
      <c r="AF98" s="37" t="str">
        <f t="shared" ca="1" si="2"/>
        <v>11년 7개월</v>
      </c>
      <c r="AG98" s="39">
        <f t="shared" ca="1" si="3"/>
        <v>139.16666666666666</v>
      </c>
      <c r="AH98" s="37" t="str">
        <f t="shared" ca="1" si="4"/>
        <v>11년 7개월</v>
      </c>
      <c r="AI98" s="58" t="s">
        <v>773</v>
      </c>
      <c r="AJ98" s="37" t="s">
        <v>774</v>
      </c>
      <c r="AK98" s="50" t="s">
        <v>775</v>
      </c>
      <c r="AL98" s="37"/>
      <c r="AM98" s="37" t="s">
        <v>776</v>
      </c>
      <c r="AN98" s="54" t="s">
        <v>777</v>
      </c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</row>
    <row r="99" spans="1:54" ht="15" customHeight="1">
      <c r="A99" s="33" t="s">
        <v>633</v>
      </c>
      <c r="B99" s="37">
        <v>140801</v>
      </c>
      <c r="C99" s="37" t="s">
        <v>226</v>
      </c>
      <c r="D99" s="37" t="s">
        <v>778</v>
      </c>
      <c r="E99" s="37" t="s">
        <v>139</v>
      </c>
      <c r="F99" s="37"/>
      <c r="G99" s="34" t="s">
        <v>760</v>
      </c>
      <c r="H99" s="37" t="s">
        <v>654</v>
      </c>
      <c r="I99" s="37" t="s">
        <v>779</v>
      </c>
      <c r="J99" s="36">
        <v>41855</v>
      </c>
      <c r="K99" s="36"/>
      <c r="L99" s="36">
        <v>42035</v>
      </c>
      <c r="M99" s="37" t="s">
        <v>153</v>
      </c>
      <c r="N99" s="37" t="s">
        <v>780</v>
      </c>
      <c r="O99" s="37" t="s">
        <v>781</v>
      </c>
      <c r="P99" s="37" t="s">
        <v>782</v>
      </c>
      <c r="Q99" s="37" t="s">
        <v>209</v>
      </c>
      <c r="R99" s="36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9">
        <v>138</v>
      </c>
      <c r="AD99" s="37" t="str">
        <f t="shared" si="1"/>
        <v>11년 6개월</v>
      </c>
      <c r="AE99" s="39">
        <f ca="1">(재직자!$AL$1-J99)/30</f>
        <v>141.96666666666667</v>
      </c>
      <c r="AF99" s="37" t="str">
        <f t="shared" ca="1" si="2"/>
        <v>11년 9개월</v>
      </c>
      <c r="AG99" s="39">
        <f t="shared" ca="1" si="3"/>
        <v>279.9666666666667</v>
      </c>
      <c r="AH99" s="37" t="str">
        <f t="shared" ca="1" si="4"/>
        <v>23년 3개월</v>
      </c>
      <c r="AI99" s="44" t="s">
        <v>783</v>
      </c>
      <c r="AJ99" s="37" t="s">
        <v>784</v>
      </c>
      <c r="AK99" s="50" t="s">
        <v>785</v>
      </c>
      <c r="AL99" s="37"/>
      <c r="AM99" s="37" t="s">
        <v>786</v>
      </c>
      <c r="AN99" s="54" t="s">
        <v>787</v>
      </c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</row>
    <row r="100" spans="1:54" ht="15" customHeight="1">
      <c r="A100" s="33" t="s">
        <v>788</v>
      </c>
      <c r="B100" s="59">
        <v>130207</v>
      </c>
      <c r="C100" s="37" t="s">
        <v>193</v>
      </c>
      <c r="D100" s="37" t="s">
        <v>789</v>
      </c>
      <c r="E100" s="37" t="s">
        <v>51</v>
      </c>
      <c r="F100" s="37"/>
      <c r="G100" s="37" t="s">
        <v>790</v>
      </c>
      <c r="H100" s="37" t="s">
        <v>790</v>
      </c>
      <c r="I100" s="37" t="s">
        <v>791</v>
      </c>
      <c r="J100" s="36">
        <v>41330</v>
      </c>
      <c r="K100" s="36"/>
      <c r="L100" s="36">
        <v>42031</v>
      </c>
      <c r="M100" s="37" t="s">
        <v>153</v>
      </c>
      <c r="N100" s="37" t="s">
        <v>792</v>
      </c>
      <c r="O100" s="37" t="s">
        <v>793</v>
      </c>
      <c r="P100" s="37"/>
      <c r="Q100" s="37" t="s">
        <v>209</v>
      </c>
      <c r="R100" s="36"/>
      <c r="S100" s="37" t="s">
        <v>275</v>
      </c>
      <c r="T100" s="36">
        <v>41236</v>
      </c>
      <c r="U100" s="37" t="s">
        <v>526</v>
      </c>
      <c r="V100" s="36">
        <v>40311</v>
      </c>
      <c r="W100" s="37"/>
      <c r="X100" s="37"/>
      <c r="Y100" s="37" t="s">
        <v>210</v>
      </c>
      <c r="Z100" s="37"/>
      <c r="AA100" s="37"/>
      <c r="AB100" s="37"/>
      <c r="AC100" s="39">
        <v>0</v>
      </c>
      <c r="AD100" s="37" t="str">
        <f t="shared" si="1"/>
        <v>0년 0개월</v>
      </c>
      <c r="AE100" s="39">
        <f ca="1">(재직자!$AL$1-J100)/30</f>
        <v>159.46666666666667</v>
      </c>
      <c r="AF100" s="37" t="str">
        <f t="shared" ca="1" si="2"/>
        <v>13년 3개월</v>
      </c>
      <c r="AG100" s="39">
        <f t="shared" ca="1" si="3"/>
        <v>159.46666666666667</v>
      </c>
      <c r="AH100" s="37" t="str">
        <f t="shared" ca="1" si="4"/>
        <v>13년 3개월</v>
      </c>
      <c r="AI100" s="44" t="s">
        <v>794</v>
      </c>
      <c r="AJ100" s="37" t="s">
        <v>795</v>
      </c>
      <c r="AK100" s="50" t="s">
        <v>796</v>
      </c>
      <c r="AL100" s="37"/>
      <c r="AM100" s="37" t="s">
        <v>797</v>
      </c>
      <c r="AN100" s="54">
        <v>1.18</v>
      </c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</row>
    <row r="101" spans="1:54" ht="15" customHeight="1">
      <c r="A101" s="33" t="s">
        <v>798</v>
      </c>
      <c r="B101" s="33" t="s">
        <v>799</v>
      </c>
      <c r="C101" s="33" t="s">
        <v>193</v>
      </c>
      <c r="D101" s="34" t="s">
        <v>800</v>
      </c>
      <c r="E101" s="34" t="s">
        <v>454</v>
      </c>
      <c r="F101" s="34"/>
      <c r="G101" s="34" t="s">
        <v>61</v>
      </c>
      <c r="H101" s="34" t="s">
        <v>582</v>
      </c>
      <c r="I101" s="35" t="s">
        <v>801</v>
      </c>
      <c r="J101" s="36">
        <v>41030</v>
      </c>
      <c r="K101" s="36">
        <v>41640</v>
      </c>
      <c r="L101" s="36">
        <v>42155</v>
      </c>
      <c r="M101" s="37" t="s">
        <v>146</v>
      </c>
      <c r="N101" s="37" t="s">
        <v>802</v>
      </c>
      <c r="O101" s="38" t="s">
        <v>552</v>
      </c>
      <c r="P101" s="38"/>
      <c r="Q101" s="37" t="s">
        <v>265</v>
      </c>
      <c r="R101" s="36">
        <v>36759</v>
      </c>
      <c r="S101" s="37" t="s">
        <v>405</v>
      </c>
      <c r="T101" s="36">
        <v>36346</v>
      </c>
      <c r="U101" s="37"/>
      <c r="V101" s="37"/>
      <c r="W101" s="37"/>
      <c r="X101" s="37"/>
      <c r="Y101" s="37" t="s">
        <v>276</v>
      </c>
      <c r="Z101" s="37" t="s">
        <v>211</v>
      </c>
      <c r="AA101" s="36" t="e">
        <f>+VLOOKUP($D101,[1]Sheet1!$A$1:$C$42,3,0)</f>
        <v>#N/A</v>
      </c>
      <c r="AB101" s="37" t="e">
        <f>+VLOOKUP($D101,[1]Sheet1!$A$1:$C$42,2,0)</f>
        <v>#N/A</v>
      </c>
      <c r="AC101" s="39">
        <v>117</v>
      </c>
      <c r="AD101" s="38" t="str">
        <f t="shared" si="1"/>
        <v>9년 9개월</v>
      </c>
      <c r="AE101" s="39">
        <f ca="1">(재직자!$AL$1-J101)/30</f>
        <v>169.46666666666667</v>
      </c>
      <c r="AF101" s="39" t="str">
        <f t="shared" ca="1" si="2"/>
        <v>14년 1개월</v>
      </c>
      <c r="AG101" s="39">
        <f t="shared" ca="1" si="3"/>
        <v>286.4666666666667</v>
      </c>
      <c r="AH101" s="39" t="str">
        <f t="shared" ca="1" si="4"/>
        <v>23년 10개월</v>
      </c>
      <c r="AI101" s="43" t="s">
        <v>803</v>
      </c>
      <c r="AJ101" s="33" t="s">
        <v>804</v>
      </c>
      <c r="AK101" s="44" t="s">
        <v>805</v>
      </c>
      <c r="AL101" s="37" t="e">
        <f>+VLOOKUP($D101,[2]Sheet1!$C$2:$D$36,2,0)</f>
        <v>#N/A</v>
      </c>
      <c r="AM101" s="37" t="s">
        <v>806</v>
      </c>
      <c r="AN101" s="54" t="s">
        <v>807</v>
      </c>
      <c r="AO101" s="38" t="s">
        <v>808</v>
      </c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</row>
    <row r="102" spans="1:54" ht="15" customHeight="1">
      <c r="A102" s="33" t="s">
        <v>224</v>
      </c>
      <c r="B102" s="37">
        <v>150401</v>
      </c>
      <c r="C102" s="37" t="s">
        <v>226</v>
      </c>
      <c r="D102" s="37" t="s">
        <v>809</v>
      </c>
      <c r="E102" s="37" t="s">
        <v>51</v>
      </c>
      <c r="F102" s="37"/>
      <c r="G102" s="34" t="s">
        <v>771</v>
      </c>
      <c r="H102" s="34" t="s">
        <v>771</v>
      </c>
      <c r="I102" s="37" t="s">
        <v>810</v>
      </c>
      <c r="J102" s="36">
        <v>42107</v>
      </c>
      <c r="K102" s="36"/>
      <c r="L102" s="36">
        <v>42155</v>
      </c>
      <c r="M102" s="37" t="s">
        <v>153</v>
      </c>
      <c r="N102" s="37" t="s">
        <v>318</v>
      </c>
      <c r="O102" s="37" t="s">
        <v>811</v>
      </c>
      <c r="P102" s="37" t="s">
        <v>711</v>
      </c>
      <c r="Q102" s="37" t="s">
        <v>209</v>
      </c>
      <c r="R102" s="36">
        <v>41873</v>
      </c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9">
        <v>0</v>
      </c>
      <c r="AD102" s="37" t="str">
        <f t="shared" si="1"/>
        <v>0년 0개월</v>
      </c>
      <c r="AE102" s="39">
        <f ca="1">(재직자!$AL$1-J102)/30</f>
        <v>133.56666666666666</v>
      </c>
      <c r="AF102" s="37" t="str">
        <f t="shared" ca="1" si="2"/>
        <v>11년 1개월</v>
      </c>
      <c r="AG102" s="39">
        <f t="shared" ca="1" si="3"/>
        <v>133.56666666666666</v>
      </c>
      <c r="AH102" s="37" t="str">
        <f t="shared" ca="1" si="4"/>
        <v>11년 1개월</v>
      </c>
      <c r="AI102" s="58" t="s">
        <v>812</v>
      </c>
      <c r="AJ102" s="37" t="s">
        <v>813</v>
      </c>
      <c r="AK102" s="50" t="s">
        <v>814</v>
      </c>
      <c r="AL102" s="37"/>
      <c r="AM102" s="37" t="s">
        <v>815</v>
      </c>
      <c r="AN102" s="54" t="s">
        <v>816</v>
      </c>
      <c r="AO102" s="38" t="s">
        <v>817</v>
      </c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</row>
    <row r="103" spans="1:54" ht="15" customHeight="1">
      <c r="A103" s="33" t="s">
        <v>818</v>
      </c>
      <c r="B103" s="37">
        <v>130902</v>
      </c>
      <c r="C103" s="37" t="s">
        <v>193</v>
      </c>
      <c r="D103" s="37" t="s">
        <v>819</v>
      </c>
      <c r="E103" s="37" t="s">
        <v>44</v>
      </c>
      <c r="F103" s="38"/>
      <c r="G103" s="34" t="s">
        <v>61</v>
      </c>
      <c r="H103" s="34" t="s">
        <v>635</v>
      </c>
      <c r="I103" s="37" t="s">
        <v>820</v>
      </c>
      <c r="J103" s="36">
        <v>41540</v>
      </c>
      <c r="K103" s="36">
        <v>42005</v>
      </c>
      <c r="L103" s="36">
        <v>42198</v>
      </c>
      <c r="M103" s="37" t="s">
        <v>153</v>
      </c>
      <c r="N103" s="37" t="s">
        <v>646</v>
      </c>
      <c r="O103" s="37" t="s">
        <v>617</v>
      </c>
      <c r="P103" s="37"/>
      <c r="Q103" s="37" t="s">
        <v>209</v>
      </c>
      <c r="R103" s="36"/>
      <c r="S103" s="37" t="s">
        <v>275</v>
      </c>
      <c r="T103" s="36">
        <v>41138</v>
      </c>
      <c r="U103" s="37" t="s">
        <v>821</v>
      </c>
      <c r="V103" s="36">
        <v>40439</v>
      </c>
      <c r="W103" s="37"/>
      <c r="X103" s="37"/>
      <c r="Y103" s="37" t="s">
        <v>210</v>
      </c>
      <c r="Z103" s="37"/>
      <c r="AA103" s="37"/>
      <c r="AB103" s="37"/>
      <c r="AC103" s="39">
        <v>25</v>
      </c>
      <c r="AD103" s="37" t="str">
        <f t="shared" si="1"/>
        <v>2년 1개월</v>
      </c>
      <c r="AE103" s="39">
        <f ca="1">(재직자!$AL$1-J103)/30</f>
        <v>152.46666666666667</v>
      </c>
      <c r="AF103" s="37" t="str">
        <f t="shared" ca="1" si="2"/>
        <v>12년 8개월</v>
      </c>
      <c r="AG103" s="39">
        <f t="shared" ca="1" si="3"/>
        <v>177.46666666666667</v>
      </c>
      <c r="AH103" s="37" t="str">
        <f t="shared" ca="1" si="4"/>
        <v>14년 9개월</v>
      </c>
      <c r="AI103" s="44" t="s">
        <v>822</v>
      </c>
      <c r="AJ103" s="55" t="s">
        <v>823</v>
      </c>
      <c r="AK103" s="50" t="s">
        <v>824</v>
      </c>
      <c r="AL103" s="37"/>
      <c r="AM103" s="37" t="s">
        <v>825</v>
      </c>
      <c r="AN103" s="54">
        <v>2.2400000000000002</v>
      </c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</row>
    <row r="104" spans="1:54" ht="15" customHeight="1">
      <c r="A104" s="33" t="s">
        <v>652</v>
      </c>
      <c r="B104" s="37">
        <v>140602</v>
      </c>
      <c r="C104" s="37" t="s">
        <v>226</v>
      </c>
      <c r="D104" s="57" t="s">
        <v>826</v>
      </c>
      <c r="E104" s="37" t="s">
        <v>139</v>
      </c>
      <c r="F104" s="38" t="s">
        <v>827</v>
      </c>
      <c r="G104" s="34" t="s">
        <v>790</v>
      </c>
      <c r="H104" s="34" t="s">
        <v>790</v>
      </c>
      <c r="I104" s="37" t="s">
        <v>828</v>
      </c>
      <c r="J104" s="36">
        <v>41799</v>
      </c>
      <c r="K104" s="36"/>
      <c r="L104" s="36">
        <v>42220</v>
      </c>
      <c r="M104" s="37" t="s">
        <v>196</v>
      </c>
      <c r="N104" s="37" t="s">
        <v>829</v>
      </c>
      <c r="O104" s="37" t="s">
        <v>830</v>
      </c>
      <c r="P104" s="37" t="s">
        <v>831</v>
      </c>
      <c r="Q104" s="37" t="s">
        <v>832</v>
      </c>
      <c r="R104" s="37"/>
      <c r="S104" s="37"/>
      <c r="T104" s="37"/>
      <c r="U104" s="37"/>
      <c r="V104" s="37"/>
      <c r="W104" s="37"/>
      <c r="X104" s="37"/>
      <c r="Y104" s="37" t="s">
        <v>199</v>
      </c>
      <c r="Z104" s="37"/>
      <c r="AA104" s="37"/>
      <c r="AB104" s="37"/>
      <c r="AC104" s="39">
        <v>73</v>
      </c>
      <c r="AD104" s="37" t="str">
        <f t="shared" si="1"/>
        <v>6년 1개월</v>
      </c>
      <c r="AE104" s="39">
        <f ca="1">(재직자!$AL$1-J104)/30</f>
        <v>143.83333333333334</v>
      </c>
      <c r="AF104" s="37" t="str">
        <f t="shared" ca="1" si="2"/>
        <v>11년 11개월</v>
      </c>
      <c r="AG104" s="39">
        <f t="shared" ca="1" si="3"/>
        <v>216.83333333333334</v>
      </c>
      <c r="AH104" s="37" t="str">
        <f t="shared" ca="1" si="4"/>
        <v>18년 0개월</v>
      </c>
      <c r="AI104" s="44" t="s">
        <v>833</v>
      </c>
      <c r="AJ104" s="57" t="s">
        <v>834</v>
      </c>
      <c r="AK104" s="50" t="s">
        <v>835</v>
      </c>
      <c r="AL104" s="37"/>
      <c r="AM104" s="37" t="s">
        <v>836</v>
      </c>
      <c r="AN104" s="60" t="s">
        <v>837</v>
      </c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</row>
    <row r="105" spans="1:54" ht="15" customHeight="1">
      <c r="A105" s="33" t="s">
        <v>633</v>
      </c>
      <c r="B105" s="37">
        <v>141201</v>
      </c>
      <c r="C105" s="37" t="s">
        <v>193</v>
      </c>
      <c r="D105" s="37" t="s">
        <v>235</v>
      </c>
      <c r="E105" s="37" t="s">
        <v>228</v>
      </c>
      <c r="F105" s="38" t="s">
        <v>838</v>
      </c>
      <c r="G105" s="34" t="s">
        <v>839</v>
      </c>
      <c r="H105" s="34"/>
      <c r="I105" s="37" t="s">
        <v>239</v>
      </c>
      <c r="J105" s="36">
        <v>41990</v>
      </c>
      <c r="K105" s="36"/>
      <c r="L105" s="36">
        <v>42256</v>
      </c>
      <c r="M105" s="37" t="s">
        <v>153</v>
      </c>
      <c r="N105" s="37" t="s">
        <v>240</v>
      </c>
      <c r="O105" s="37" t="s">
        <v>241</v>
      </c>
      <c r="P105" s="37" t="s">
        <v>763</v>
      </c>
      <c r="Q105" s="37" t="s">
        <v>209</v>
      </c>
      <c r="R105" s="36">
        <v>36581</v>
      </c>
      <c r="S105" s="37"/>
      <c r="T105" s="37"/>
      <c r="U105" s="37"/>
      <c r="V105" s="37"/>
      <c r="W105" s="37"/>
      <c r="X105" s="37"/>
      <c r="Y105" s="37" t="s">
        <v>199</v>
      </c>
      <c r="Z105" s="37"/>
      <c r="AA105" s="37"/>
      <c r="AB105" s="37"/>
      <c r="AC105" s="39">
        <v>166</v>
      </c>
      <c r="AD105" s="37" t="str">
        <f t="shared" si="1"/>
        <v>13년 10개월</v>
      </c>
      <c r="AE105" s="39">
        <f ca="1">(재직자!$AL$1-J105)/30</f>
        <v>137.46666666666667</v>
      </c>
      <c r="AF105" s="37" t="str">
        <f t="shared" ca="1" si="2"/>
        <v>11년 5개월</v>
      </c>
      <c r="AG105" s="39">
        <f t="shared" ca="1" si="3"/>
        <v>303.4666666666667</v>
      </c>
      <c r="AH105" s="37" t="str">
        <f t="shared" ca="1" si="4"/>
        <v>25년 3개월</v>
      </c>
      <c r="AI105" s="58" t="s">
        <v>840</v>
      </c>
      <c r="AJ105" s="37" t="s">
        <v>243</v>
      </c>
      <c r="AK105" s="50" t="s">
        <v>244</v>
      </c>
      <c r="AL105" s="37"/>
      <c r="AM105" s="37" t="s">
        <v>841</v>
      </c>
      <c r="AN105" s="54" t="s">
        <v>842</v>
      </c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</row>
    <row r="106" spans="1:54" ht="15" customHeight="1">
      <c r="A106" s="33" t="s">
        <v>623</v>
      </c>
      <c r="B106" s="37">
        <v>141003</v>
      </c>
      <c r="C106" s="37" t="s">
        <v>193</v>
      </c>
      <c r="D106" s="37" t="s">
        <v>843</v>
      </c>
      <c r="E106" s="37" t="s">
        <v>34</v>
      </c>
      <c r="F106" s="38" t="s">
        <v>844</v>
      </c>
      <c r="G106" s="34" t="s">
        <v>61</v>
      </c>
      <c r="H106" s="37" t="s">
        <v>845</v>
      </c>
      <c r="I106" s="37" t="s">
        <v>846</v>
      </c>
      <c r="J106" s="36">
        <v>41939</v>
      </c>
      <c r="K106" s="36"/>
      <c r="L106" s="36">
        <v>42251</v>
      </c>
      <c r="M106" s="37" t="s">
        <v>146</v>
      </c>
      <c r="N106" s="37" t="s">
        <v>847</v>
      </c>
      <c r="O106" s="37" t="s">
        <v>346</v>
      </c>
      <c r="P106" s="37" t="s">
        <v>763</v>
      </c>
      <c r="Q106" s="37" t="s">
        <v>265</v>
      </c>
      <c r="R106" s="36">
        <v>37308</v>
      </c>
      <c r="S106" s="37"/>
      <c r="T106" s="37"/>
      <c r="U106" s="37"/>
      <c r="V106" s="37"/>
      <c r="W106" s="37"/>
      <c r="X106" s="37"/>
      <c r="Y106" s="37" t="s">
        <v>230</v>
      </c>
      <c r="Z106" s="37"/>
      <c r="AA106" s="37"/>
      <c r="AB106" s="37"/>
      <c r="AC106" s="39">
        <v>150</v>
      </c>
      <c r="AD106" s="37" t="str">
        <f t="shared" ref="AD106:AD169" si="6">(TRUNC(AC106/12))&amp;"년 "&amp;(ROUNDDOWN(MOD(AC106,12),0))&amp;"개월"</f>
        <v>12년 6개월</v>
      </c>
      <c r="AE106" s="39">
        <f ca="1">(재직자!$AL$1-J106)/30</f>
        <v>139.16666666666666</v>
      </c>
      <c r="AF106" s="37" t="str">
        <f t="shared" ref="AF106:AF169" ca="1" si="7">(TRUNC(AE106/12))&amp;"년 "&amp;(ROUNDDOWN(MOD(AE106,12),0))&amp;"개월"</f>
        <v>11년 7개월</v>
      </c>
      <c r="AG106" s="39">
        <f t="shared" ref="AG106:AG169" ca="1" si="8">+AC106+AE106</f>
        <v>289.16666666666663</v>
      </c>
      <c r="AH106" s="37" t="str">
        <f t="shared" ref="AH106:AH169" ca="1" si="9">(TRUNC(AG106/12))&amp;"년 "&amp;(ROUNDDOWN(MOD(AG106,12),0))&amp;"개월"</f>
        <v>24년 1개월</v>
      </c>
      <c r="AI106" s="58" t="s">
        <v>848</v>
      </c>
      <c r="AJ106" s="37" t="s">
        <v>849</v>
      </c>
      <c r="AK106" s="50" t="s">
        <v>850</v>
      </c>
      <c r="AL106" s="37"/>
      <c r="AM106" s="37" t="s">
        <v>851</v>
      </c>
      <c r="AN106" s="54" t="s">
        <v>852</v>
      </c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</row>
    <row r="107" spans="1:54" ht="15" customHeight="1">
      <c r="A107" s="33" t="s">
        <v>853</v>
      </c>
      <c r="B107" s="37">
        <v>130201</v>
      </c>
      <c r="C107" s="37" t="s">
        <v>193</v>
      </c>
      <c r="D107" s="37" t="s">
        <v>854</v>
      </c>
      <c r="E107" s="37" t="s">
        <v>88</v>
      </c>
      <c r="F107" s="38" t="s">
        <v>855</v>
      </c>
      <c r="G107" s="37" t="s">
        <v>856</v>
      </c>
      <c r="H107" s="34" t="s">
        <v>857</v>
      </c>
      <c r="I107" s="37" t="s">
        <v>858</v>
      </c>
      <c r="J107" s="36">
        <v>41309</v>
      </c>
      <c r="K107" s="36"/>
      <c r="L107" s="36">
        <v>42362</v>
      </c>
      <c r="M107" s="37" t="s">
        <v>146</v>
      </c>
      <c r="N107" s="37" t="s">
        <v>859</v>
      </c>
      <c r="O107" s="37" t="s">
        <v>297</v>
      </c>
      <c r="P107" s="37"/>
      <c r="Q107" s="37" t="s">
        <v>265</v>
      </c>
      <c r="R107" s="36">
        <v>38386</v>
      </c>
      <c r="S107" s="37"/>
      <c r="T107" s="37"/>
      <c r="U107" s="37"/>
      <c r="V107" s="37"/>
      <c r="W107" s="37"/>
      <c r="X107" s="37"/>
      <c r="Y107" s="37" t="s">
        <v>276</v>
      </c>
      <c r="Z107" s="37"/>
      <c r="AA107" s="37"/>
      <c r="AB107" s="37"/>
      <c r="AC107" s="39">
        <v>96</v>
      </c>
      <c r="AD107" s="37" t="str">
        <f t="shared" si="6"/>
        <v>8년 0개월</v>
      </c>
      <c r="AE107" s="39">
        <f ca="1">(재직자!$AL$1-J107)/30</f>
        <v>160.16666666666666</v>
      </c>
      <c r="AF107" s="37" t="str">
        <f t="shared" ca="1" si="7"/>
        <v>13년 4개월</v>
      </c>
      <c r="AG107" s="39">
        <f t="shared" ca="1" si="8"/>
        <v>256.16666666666663</v>
      </c>
      <c r="AH107" s="37" t="str">
        <f t="shared" ca="1" si="9"/>
        <v>21년 4개월</v>
      </c>
      <c r="AI107" s="44" t="s">
        <v>860</v>
      </c>
      <c r="AJ107" s="37" t="s">
        <v>861</v>
      </c>
      <c r="AK107" s="50" t="s">
        <v>862</v>
      </c>
      <c r="AL107" s="37"/>
      <c r="AM107" s="37" t="s">
        <v>863</v>
      </c>
      <c r="AN107" s="54">
        <v>3.19</v>
      </c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</row>
    <row r="108" spans="1:54" ht="15" customHeight="1">
      <c r="A108" s="33" t="s">
        <v>864</v>
      </c>
      <c r="B108" s="37">
        <v>150201</v>
      </c>
      <c r="C108" s="37" t="s">
        <v>226</v>
      </c>
      <c r="D108" s="37" t="s">
        <v>865</v>
      </c>
      <c r="E108" s="37" t="s">
        <v>228</v>
      </c>
      <c r="F108" s="38" t="s">
        <v>866</v>
      </c>
      <c r="G108" s="34" t="s">
        <v>771</v>
      </c>
      <c r="H108" s="34"/>
      <c r="I108" s="37" t="s">
        <v>867</v>
      </c>
      <c r="J108" s="36">
        <v>42058</v>
      </c>
      <c r="K108" s="36"/>
      <c r="L108" s="36">
        <v>42362</v>
      </c>
      <c r="M108" s="37" t="s">
        <v>153</v>
      </c>
      <c r="N108" s="37" t="s">
        <v>868</v>
      </c>
      <c r="O108" s="37" t="s">
        <v>869</v>
      </c>
      <c r="P108" s="37" t="s">
        <v>870</v>
      </c>
      <c r="Q108" s="37" t="s">
        <v>209</v>
      </c>
      <c r="R108" s="36">
        <v>36576</v>
      </c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9">
        <v>144</v>
      </c>
      <c r="AD108" s="37" t="str">
        <f t="shared" si="6"/>
        <v>12년 0개월</v>
      </c>
      <c r="AE108" s="39">
        <f ca="1">(재직자!$AL$1-J108)/30</f>
        <v>135.19999999999999</v>
      </c>
      <c r="AF108" s="37" t="str">
        <f t="shared" ca="1" si="7"/>
        <v>11년 3개월</v>
      </c>
      <c r="AG108" s="39">
        <f t="shared" ca="1" si="8"/>
        <v>279.2</v>
      </c>
      <c r="AH108" s="37" t="str">
        <f t="shared" ca="1" si="9"/>
        <v>23년 3개월</v>
      </c>
      <c r="AI108" s="58" t="s">
        <v>871</v>
      </c>
      <c r="AJ108" s="37" t="s">
        <v>872</v>
      </c>
      <c r="AK108" s="50" t="s">
        <v>873</v>
      </c>
      <c r="AL108" s="37"/>
      <c r="AM108" s="37" t="s">
        <v>874</v>
      </c>
      <c r="AN108" s="54" t="s">
        <v>875</v>
      </c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</row>
    <row r="109" spans="1:54" ht="15" customHeight="1">
      <c r="A109" s="33" t="s">
        <v>876</v>
      </c>
      <c r="B109" s="37">
        <v>140102</v>
      </c>
      <c r="C109" s="37" t="s">
        <v>877</v>
      </c>
      <c r="D109" s="37" t="s">
        <v>878</v>
      </c>
      <c r="E109" s="37" t="s">
        <v>228</v>
      </c>
      <c r="F109" s="38" t="s">
        <v>879</v>
      </c>
      <c r="G109" s="34" t="s">
        <v>880</v>
      </c>
      <c r="H109" s="37" t="s">
        <v>881</v>
      </c>
      <c r="I109" s="37" t="s">
        <v>882</v>
      </c>
      <c r="J109" s="36">
        <v>41652</v>
      </c>
      <c r="K109" s="36"/>
      <c r="L109" s="36">
        <v>42369</v>
      </c>
      <c r="M109" s="37" t="s">
        <v>153</v>
      </c>
      <c r="N109" s="37" t="s">
        <v>883</v>
      </c>
      <c r="O109" s="37" t="s">
        <v>884</v>
      </c>
      <c r="P109" s="37"/>
      <c r="Q109" s="37" t="s">
        <v>209</v>
      </c>
      <c r="R109" s="36">
        <v>33289</v>
      </c>
      <c r="S109" s="37"/>
      <c r="T109" s="37"/>
      <c r="U109" s="37"/>
      <c r="V109" s="37"/>
      <c r="W109" s="37"/>
      <c r="X109" s="37"/>
      <c r="Y109" s="37" t="s">
        <v>199</v>
      </c>
      <c r="Z109" s="37"/>
      <c r="AA109" s="37"/>
      <c r="AB109" s="37"/>
      <c r="AC109" s="39">
        <v>197.8</v>
      </c>
      <c r="AD109" s="37" t="str">
        <f t="shared" si="6"/>
        <v>16년 5개월</v>
      </c>
      <c r="AE109" s="39">
        <f ca="1">(재직자!$AL$1-J109)/30</f>
        <v>148.73333333333332</v>
      </c>
      <c r="AF109" s="37" t="str">
        <f t="shared" ca="1" si="7"/>
        <v>12년 4개월</v>
      </c>
      <c r="AG109" s="39">
        <f t="shared" ca="1" si="8"/>
        <v>346.5333333333333</v>
      </c>
      <c r="AH109" s="37" t="str">
        <f t="shared" ca="1" si="9"/>
        <v>28년 10개월</v>
      </c>
      <c r="AI109" s="44" t="s">
        <v>885</v>
      </c>
      <c r="AJ109" s="37" t="s">
        <v>886</v>
      </c>
      <c r="AK109" s="50" t="s">
        <v>887</v>
      </c>
      <c r="AL109" s="37"/>
      <c r="AM109" s="37" t="s">
        <v>888</v>
      </c>
      <c r="AN109" s="54" t="s">
        <v>632</v>
      </c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</row>
    <row r="110" spans="1:54" ht="15" customHeight="1">
      <c r="A110" s="33" t="s">
        <v>425</v>
      </c>
      <c r="B110" s="37">
        <v>130301</v>
      </c>
      <c r="C110" s="37" t="s">
        <v>193</v>
      </c>
      <c r="D110" s="37" t="s">
        <v>889</v>
      </c>
      <c r="E110" s="37" t="s">
        <v>34</v>
      </c>
      <c r="F110" s="61" t="s">
        <v>890</v>
      </c>
      <c r="G110" s="37" t="s">
        <v>880</v>
      </c>
      <c r="H110" s="37" t="s">
        <v>891</v>
      </c>
      <c r="I110" s="37" t="s">
        <v>892</v>
      </c>
      <c r="J110" s="36">
        <v>41334</v>
      </c>
      <c r="K110" s="36"/>
      <c r="L110" s="36">
        <v>42400</v>
      </c>
      <c r="M110" s="37" t="s">
        <v>153</v>
      </c>
      <c r="N110" s="37" t="s">
        <v>893</v>
      </c>
      <c r="O110" s="37" t="s">
        <v>627</v>
      </c>
      <c r="P110" s="37"/>
      <c r="Q110" s="37" t="s">
        <v>209</v>
      </c>
      <c r="R110" s="36">
        <v>35846</v>
      </c>
      <c r="S110" s="37" t="s">
        <v>275</v>
      </c>
      <c r="T110" s="36">
        <v>35704</v>
      </c>
      <c r="U110" s="37"/>
      <c r="V110" s="37"/>
      <c r="W110" s="37"/>
      <c r="X110" s="37"/>
      <c r="Y110" s="37" t="s">
        <v>199</v>
      </c>
      <c r="Z110" s="37"/>
      <c r="AA110" s="37"/>
      <c r="AB110" s="37"/>
      <c r="AC110" s="39">
        <v>183</v>
      </c>
      <c r="AD110" s="37" t="str">
        <f t="shared" si="6"/>
        <v>15년 3개월</v>
      </c>
      <c r="AE110" s="39">
        <f ca="1">(재직자!$AL$1-J110)/30</f>
        <v>159.33333333333334</v>
      </c>
      <c r="AF110" s="37" t="str">
        <f t="shared" ca="1" si="7"/>
        <v>13년 3개월</v>
      </c>
      <c r="AG110" s="39">
        <f t="shared" ca="1" si="8"/>
        <v>342.33333333333337</v>
      </c>
      <c r="AH110" s="37" t="str">
        <f t="shared" ca="1" si="9"/>
        <v>28년 6개월</v>
      </c>
      <c r="AI110" s="44" t="s">
        <v>894</v>
      </c>
      <c r="AJ110" s="37" t="s">
        <v>895</v>
      </c>
      <c r="AK110" s="50" t="s">
        <v>896</v>
      </c>
      <c r="AL110" s="37">
        <v>2627</v>
      </c>
      <c r="AM110" s="37" t="s">
        <v>897</v>
      </c>
      <c r="AN110" s="54" t="s">
        <v>898</v>
      </c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</row>
    <row r="111" spans="1:54" ht="15" customHeight="1">
      <c r="A111" s="33" t="s">
        <v>899</v>
      </c>
      <c r="B111" s="33" t="s">
        <v>900</v>
      </c>
      <c r="C111" s="33" t="s">
        <v>226</v>
      </c>
      <c r="D111" s="34" t="s">
        <v>901</v>
      </c>
      <c r="E111" s="34" t="s">
        <v>139</v>
      </c>
      <c r="F111" s="38" t="s">
        <v>902</v>
      </c>
      <c r="G111" s="34" t="s">
        <v>61</v>
      </c>
      <c r="H111" s="34" t="s">
        <v>903</v>
      </c>
      <c r="I111" s="35" t="s">
        <v>904</v>
      </c>
      <c r="J111" s="36">
        <v>42150</v>
      </c>
      <c r="K111" s="36"/>
      <c r="L111" s="36">
        <v>42412</v>
      </c>
      <c r="M111" s="37" t="s">
        <v>153</v>
      </c>
      <c r="N111" s="37" t="s">
        <v>905</v>
      </c>
      <c r="O111" s="37" t="s">
        <v>499</v>
      </c>
      <c r="P111" s="38"/>
      <c r="Q111" s="37" t="s">
        <v>209</v>
      </c>
      <c r="R111" s="36"/>
      <c r="S111" s="37" t="s">
        <v>275</v>
      </c>
      <c r="T111" s="36">
        <v>34034</v>
      </c>
      <c r="U111" s="36"/>
      <c r="V111" s="37"/>
      <c r="W111" s="37"/>
      <c r="X111" s="37"/>
      <c r="Y111" s="37" t="s">
        <v>199</v>
      </c>
      <c r="Z111" s="37"/>
      <c r="AA111" s="36"/>
      <c r="AB111" s="37"/>
      <c r="AC111" s="39">
        <v>227</v>
      </c>
      <c r="AD111" s="38" t="str">
        <f t="shared" si="6"/>
        <v>18년 11개월</v>
      </c>
      <c r="AE111" s="39">
        <f ca="1">(재직자!$AL$1-J111)/30</f>
        <v>132.13333333333333</v>
      </c>
      <c r="AF111" s="39" t="str">
        <f t="shared" ca="1" si="7"/>
        <v>11년 0개월</v>
      </c>
      <c r="AG111" s="39">
        <f t="shared" ca="1" si="8"/>
        <v>359.13333333333333</v>
      </c>
      <c r="AH111" s="39" t="str">
        <f t="shared" ca="1" si="9"/>
        <v>29년 11개월</v>
      </c>
      <c r="AI111" s="43" t="s">
        <v>906</v>
      </c>
      <c r="AJ111" s="33" t="s">
        <v>907</v>
      </c>
      <c r="AK111" s="50" t="s">
        <v>908</v>
      </c>
      <c r="AL111" s="37"/>
      <c r="AM111" s="37" t="s">
        <v>909</v>
      </c>
      <c r="AN111" s="54" t="s">
        <v>910</v>
      </c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</row>
    <row r="112" spans="1:54" ht="16.5" customHeight="1">
      <c r="A112" s="33" t="s">
        <v>911</v>
      </c>
      <c r="B112" s="33" t="s">
        <v>912</v>
      </c>
      <c r="C112" s="33" t="s">
        <v>226</v>
      </c>
      <c r="D112" s="34" t="s">
        <v>913</v>
      </c>
      <c r="E112" s="34" t="s">
        <v>51</v>
      </c>
      <c r="F112" s="34"/>
      <c r="G112" s="34" t="s">
        <v>592</v>
      </c>
      <c r="H112" s="34"/>
      <c r="I112" s="35" t="s">
        <v>914</v>
      </c>
      <c r="J112" s="36">
        <v>42373</v>
      </c>
      <c r="K112" s="36"/>
      <c r="L112" s="36">
        <v>42426</v>
      </c>
      <c r="M112" s="37" t="s">
        <v>153</v>
      </c>
      <c r="N112" s="37" t="s">
        <v>915</v>
      </c>
      <c r="O112" s="38" t="s">
        <v>916</v>
      </c>
      <c r="P112" s="38" t="s">
        <v>711</v>
      </c>
      <c r="Q112" s="37" t="s">
        <v>917</v>
      </c>
      <c r="R112" s="36">
        <v>42419</v>
      </c>
      <c r="S112" s="37"/>
      <c r="T112" s="36"/>
      <c r="U112" s="37"/>
      <c r="V112" s="37"/>
      <c r="W112" s="37"/>
      <c r="X112" s="37"/>
      <c r="Y112" s="37"/>
      <c r="Z112" s="37"/>
      <c r="AA112" s="36"/>
      <c r="AB112" s="37"/>
      <c r="AC112" s="39"/>
      <c r="AD112" s="38" t="str">
        <f t="shared" si="6"/>
        <v>0년 0개월</v>
      </c>
      <c r="AE112" s="39">
        <f ca="1">(재직자!$AL$1-J112)/30</f>
        <v>124.7</v>
      </c>
      <c r="AF112" s="39" t="str">
        <f t="shared" ca="1" si="7"/>
        <v>10년 4개월</v>
      </c>
      <c r="AG112" s="39">
        <f t="shared" ca="1" si="8"/>
        <v>124.7</v>
      </c>
      <c r="AH112" s="39" t="str">
        <f t="shared" ca="1" si="9"/>
        <v>10년 4개월</v>
      </c>
      <c r="AI112" s="43" t="s">
        <v>918</v>
      </c>
      <c r="AJ112" s="33" t="s">
        <v>919</v>
      </c>
      <c r="AK112" s="62" t="s">
        <v>920</v>
      </c>
      <c r="AL112" s="37"/>
      <c r="AM112" s="37" t="s">
        <v>921</v>
      </c>
      <c r="AN112" s="54" t="s">
        <v>922</v>
      </c>
      <c r="AO112" s="32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</row>
    <row r="113" spans="1:54" ht="16.5" customHeight="1">
      <c r="A113" s="33" t="s">
        <v>292</v>
      </c>
      <c r="B113" s="33" t="s">
        <v>923</v>
      </c>
      <c r="C113" s="33" t="s">
        <v>924</v>
      </c>
      <c r="D113" s="34" t="s">
        <v>925</v>
      </c>
      <c r="E113" s="34" t="s">
        <v>51</v>
      </c>
      <c r="F113" s="34" t="s">
        <v>926</v>
      </c>
      <c r="G113" s="34" t="s">
        <v>839</v>
      </c>
      <c r="H113" s="34" t="s">
        <v>927</v>
      </c>
      <c r="I113" s="35" t="s">
        <v>928</v>
      </c>
      <c r="J113" s="36">
        <v>42282</v>
      </c>
      <c r="K113" s="36"/>
      <c r="L113" s="36">
        <v>42429</v>
      </c>
      <c r="M113" s="37" t="s">
        <v>153</v>
      </c>
      <c r="N113" s="37" t="s">
        <v>929</v>
      </c>
      <c r="O113" s="38" t="s">
        <v>930</v>
      </c>
      <c r="P113" s="38" t="s">
        <v>931</v>
      </c>
      <c r="Q113" s="37" t="s">
        <v>209</v>
      </c>
      <c r="R113" s="36">
        <v>40207</v>
      </c>
      <c r="S113" s="37"/>
      <c r="T113" s="37"/>
      <c r="U113" s="37"/>
      <c r="V113" s="37"/>
      <c r="W113" s="37"/>
      <c r="X113" s="37"/>
      <c r="Y113" s="37" t="s">
        <v>210</v>
      </c>
      <c r="Z113" s="37"/>
      <c r="AA113" s="36"/>
      <c r="AB113" s="37"/>
      <c r="AC113" s="39">
        <v>12</v>
      </c>
      <c r="AD113" s="38" t="str">
        <f t="shared" si="6"/>
        <v>1년 0개월</v>
      </c>
      <c r="AE113" s="39">
        <f ca="1">(재직자!$AL$1-J113)/30</f>
        <v>127.73333333333333</v>
      </c>
      <c r="AF113" s="39" t="str">
        <f t="shared" ca="1" si="7"/>
        <v>10년 7개월</v>
      </c>
      <c r="AG113" s="39">
        <f t="shared" ca="1" si="8"/>
        <v>139.73333333333335</v>
      </c>
      <c r="AH113" s="39" t="str">
        <f t="shared" ca="1" si="9"/>
        <v>11년 7개월</v>
      </c>
      <c r="AI113" s="43" t="s">
        <v>932</v>
      </c>
      <c r="AJ113" s="33" t="s">
        <v>933</v>
      </c>
      <c r="AK113" s="50" t="s">
        <v>934</v>
      </c>
      <c r="AL113" s="37"/>
      <c r="AM113" s="37" t="s">
        <v>935</v>
      </c>
      <c r="AN113" s="54" t="s">
        <v>936</v>
      </c>
      <c r="AO113" s="32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</row>
    <row r="114" spans="1:54" ht="15" customHeight="1">
      <c r="A114" s="33" t="s">
        <v>452</v>
      </c>
      <c r="B114" s="33" t="s">
        <v>937</v>
      </c>
      <c r="C114" s="33" t="s">
        <v>226</v>
      </c>
      <c r="D114" s="34" t="s">
        <v>664</v>
      </c>
      <c r="E114" s="34" t="s">
        <v>88</v>
      </c>
      <c r="F114" s="34" t="s">
        <v>938</v>
      </c>
      <c r="G114" s="34" t="s">
        <v>771</v>
      </c>
      <c r="H114" s="34"/>
      <c r="I114" s="35" t="s">
        <v>665</v>
      </c>
      <c r="J114" s="36">
        <v>42156</v>
      </c>
      <c r="K114" s="36"/>
      <c r="L114" s="36">
        <v>42433</v>
      </c>
      <c r="M114" s="37" t="s">
        <v>153</v>
      </c>
      <c r="N114" s="37" t="s">
        <v>666</v>
      </c>
      <c r="O114" s="38" t="s">
        <v>667</v>
      </c>
      <c r="P114" s="38"/>
      <c r="Q114" s="37" t="s">
        <v>209</v>
      </c>
      <c r="R114" s="36">
        <v>39499</v>
      </c>
      <c r="S114" s="37"/>
      <c r="T114" s="37"/>
      <c r="U114" s="37"/>
      <c r="V114" s="37"/>
      <c r="W114" s="37"/>
      <c r="X114" s="37"/>
      <c r="Y114" s="37"/>
      <c r="Z114" s="37"/>
      <c r="AA114" s="36"/>
      <c r="AB114" s="37"/>
      <c r="AC114" s="39"/>
      <c r="AD114" s="38" t="str">
        <f t="shared" si="6"/>
        <v>0년 0개월</v>
      </c>
      <c r="AE114" s="39">
        <f ca="1">(재직자!$AL$1-J114)/30</f>
        <v>131.93333333333334</v>
      </c>
      <c r="AF114" s="39" t="str">
        <f t="shared" ca="1" si="7"/>
        <v>10년 11개월</v>
      </c>
      <c r="AG114" s="39">
        <f t="shared" ca="1" si="8"/>
        <v>131.93333333333334</v>
      </c>
      <c r="AH114" s="39" t="str">
        <f t="shared" ca="1" si="9"/>
        <v>10년 11개월</v>
      </c>
      <c r="AI114" s="43" t="s">
        <v>668</v>
      </c>
      <c r="AJ114" s="33" t="s">
        <v>669</v>
      </c>
      <c r="AK114" s="50" t="s">
        <v>670</v>
      </c>
      <c r="AL114" s="37"/>
      <c r="AM114" s="37" t="s">
        <v>671</v>
      </c>
      <c r="AN114" s="54">
        <v>5.23</v>
      </c>
      <c r="AO114" s="32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</row>
    <row r="115" spans="1:54" ht="15" customHeight="1">
      <c r="A115" s="33" t="s">
        <v>899</v>
      </c>
      <c r="B115" s="33" t="s">
        <v>939</v>
      </c>
      <c r="C115" s="33" t="s">
        <v>226</v>
      </c>
      <c r="D115" s="34" t="s">
        <v>940</v>
      </c>
      <c r="E115" s="34" t="s">
        <v>625</v>
      </c>
      <c r="F115" s="34" t="s">
        <v>941</v>
      </c>
      <c r="G115" s="34" t="s">
        <v>942</v>
      </c>
      <c r="H115" s="34"/>
      <c r="I115" s="35" t="s">
        <v>943</v>
      </c>
      <c r="J115" s="36">
        <v>42217</v>
      </c>
      <c r="K115" s="36"/>
      <c r="L115" s="36">
        <v>42521</v>
      </c>
      <c r="M115" s="37" t="s">
        <v>196</v>
      </c>
      <c r="N115" s="37" t="s">
        <v>944</v>
      </c>
      <c r="O115" s="38" t="s">
        <v>945</v>
      </c>
      <c r="P115" s="38" t="s">
        <v>763</v>
      </c>
      <c r="Q115" s="37" t="s">
        <v>832</v>
      </c>
      <c r="R115" s="36">
        <v>36028</v>
      </c>
      <c r="S115" s="37"/>
      <c r="T115" s="37"/>
      <c r="U115" s="37"/>
      <c r="V115" s="37"/>
      <c r="W115" s="37"/>
      <c r="X115" s="37"/>
      <c r="Y115" s="37" t="s">
        <v>199</v>
      </c>
      <c r="Z115" s="37"/>
      <c r="AA115" s="36"/>
      <c r="AB115" s="37"/>
      <c r="AC115" s="39">
        <v>302</v>
      </c>
      <c r="AD115" s="38" t="str">
        <f t="shared" si="6"/>
        <v>25년 2개월</v>
      </c>
      <c r="AE115" s="39">
        <f ca="1">(재직자!$AL$1-J115)/30</f>
        <v>129.9</v>
      </c>
      <c r="AF115" s="39" t="str">
        <f t="shared" ca="1" si="7"/>
        <v>10년 9개월</v>
      </c>
      <c r="AG115" s="39">
        <f t="shared" ca="1" si="8"/>
        <v>431.9</v>
      </c>
      <c r="AH115" s="39" t="str">
        <f t="shared" ca="1" si="9"/>
        <v>35년 11개월</v>
      </c>
      <c r="AI115" s="43" t="s">
        <v>946</v>
      </c>
      <c r="AJ115" s="33" t="s">
        <v>947</v>
      </c>
      <c r="AK115" s="50" t="s">
        <v>948</v>
      </c>
      <c r="AL115" s="37"/>
      <c r="AM115" s="37" t="s">
        <v>949</v>
      </c>
      <c r="AN115" s="54" t="s">
        <v>950</v>
      </c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</row>
    <row r="116" spans="1:54" ht="16.5" customHeight="1">
      <c r="A116" s="33" t="s">
        <v>280</v>
      </c>
      <c r="B116" s="33" t="s">
        <v>951</v>
      </c>
      <c r="C116" s="33" t="s">
        <v>924</v>
      </c>
      <c r="D116" s="34" t="s">
        <v>952</v>
      </c>
      <c r="E116" s="34" t="s">
        <v>51</v>
      </c>
      <c r="F116" s="34" t="s">
        <v>953</v>
      </c>
      <c r="G116" s="34" t="s">
        <v>61</v>
      </c>
      <c r="H116" s="34" t="s">
        <v>903</v>
      </c>
      <c r="I116" s="35" t="s">
        <v>954</v>
      </c>
      <c r="J116" s="36">
        <v>42303</v>
      </c>
      <c r="K116" s="36"/>
      <c r="L116" s="36">
        <v>42521</v>
      </c>
      <c r="M116" s="37" t="s">
        <v>448</v>
      </c>
      <c r="N116" s="37" t="s">
        <v>955</v>
      </c>
      <c r="O116" s="38"/>
      <c r="P116" s="38"/>
      <c r="Q116" s="37" t="s">
        <v>448</v>
      </c>
      <c r="R116" s="36"/>
      <c r="S116" s="37"/>
      <c r="T116" s="37"/>
      <c r="U116" s="37"/>
      <c r="V116" s="37"/>
      <c r="W116" s="37"/>
      <c r="X116" s="37"/>
      <c r="Y116" s="37" t="s">
        <v>210</v>
      </c>
      <c r="Z116" s="37"/>
      <c r="AA116" s="36"/>
      <c r="AB116" s="37"/>
      <c r="AC116" s="39">
        <v>14</v>
      </c>
      <c r="AD116" s="38" t="str">
        <f t="shared" si="6"/>
        <v>1년 2개월</v>
      </c>
      <c r="AE116" s="39">
        <f ca="1">(재직자!$AL$1-J116)/30</f>
        <v>127.03333333333333</v>
      </c>
      <c r="AF116" s="39" t="str">
        <f t="shared" ca="1" si="7"/>
        <v>10년 7개월</v>
      </c>
      <c r="AG116" s="39">
        <f t="shared" ca="1" si="8"/>
        <v>141.03333333333333</v>
      </c>
      <c r="AH116" s="39" t="str">
        <f t="shared" ca="1" si="9"/>
        <v>11년 9개월</v>
      </c>
      <c r="AI116" s="43" t="s">
        <v>956</v>
      </c>
      <c r="AJ116" s="33" t="s">
        <v>957</v>
      </c>
      <c r="AK116" s="50" t="s">
        <v>958</v>
      </c>
      <c r="AL116" s="37"/>
      <c r="AM116" s="37" t="s">
        <v>959</v>
      </c>
      <c r="AN116" s="54" t="s">
        <v>960</v>
      </c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</row>
    <row r="117" spans="1:54" ht="16.5" customHeight="1">
      <c r="A117" s="33" t="s">
        <v>738</v>
      </c>
      <c r="B117" s="33" t="s">
        <v>961</v>
      </c>
      <c r="C117" s="33" t="s">
        <v>193</v>
      </c>
      <c r="D117" s="34" t="s">
        <v>962</v>
      </c>
      <c r="E117" s="34" t="s">
        <v>51</v>
      </c>
      <c r="F117" s="34"/>
      <c r="G117" s="34"/>
      <c r="H117" s="37"/>
      <c r="I117" s="35" t="s">
        <v>963</v>
      </c>
      <c r="J117" s="36">
        <v>42430</v>
      </c>
      <c r="K117" s="36"/>
      <c r="L117" s="36">
        <v>42521</v>
      </c>
      <c r="M117" s="37" t="s">
        <v>153</v>
      </c>
      <c r="N117" s="37" t="s">
        <v>792</v>
      </c>
      <c r="O117" s="38" t="s">
        <v>457</v>
      </c>
      <c r="P117" s="38" t="s">
        <v>964</v>
      </c>
      <c r="Q117" s="37" t="s">
        <v>209</v>
      </c>
      <c r="R117" s="36">
        <v>42429</v>
      </c>
      <c r="S117" s="37" t="s">
        <v>405</v>
      </c>
      <c r="T117" s="36">
        <v>41502</v>
      </c>
      <c r="U117" s="37"/>
      <c r="V117" s="37"/>
      <c r="W117" s="37"/>
      <c r="X117" s="37"/>
      <c r="Y117" s="37"/>
      <c r="Z117" s="37"/>
      <c r="AA117" s="36"/>
      <c r="AB117" s="37"/>
      <c r="AC117" s="39"/>
      <c r="AD117" s="38" t="str">
        <f t="shared" si="6"/>
        <v>0년 0개월</v>
      </c>
      <c r="AE117" s="39">
        <f ca="1">(재직자!$AL$1-J117)/30</f>
        <v>122.8</v>
      </c>
      <c r="AF117" s="39" t="str">
        <f t="shared" ca="1" si="7"/>
        <v>10년 2개월</v>
      </c>
      <c r="AG117" s="39">
        <f t="shared" ca="1" si="8"/>
        <v>122.8</v>
      </c>
      <c r="AH117" s="39" t="str">
        <f t="shared" ca="1" si="9"/>
        <v>10년 2개월</v>
      </c>
      <c r="AI117" s="43" t="s">
        <v>965</v>
      </c>
      <c r="AJ117" s="33" t="s">
        <v>966</v>
      </c>
      <c r="AK117" s="62" t="s">
        <v>967</v>
      </c>
      <c r="AL117" s="37"/>
      <c r="AM117" s="37" t="s">
        <v>968</v>
      </c>
      <c r="AN117" s="54" t="s">
        <v>969</v>
      </c>
      <c r="AO117" s="32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</row>
    <row r="118" spans="1:54" ht="16.5" customHeight="1">
      <c r="A118" s="33" t="s">
        <v>728</v>
      </c>
      <c r="B118" s="33" t="s">
        <v>970</v>
      </c>
      <c r="C118" s="33" t="s">
        <v>193</v>
      </c>
      <c r="D118" s="34" t="s">
        <v>971</v>
      </c>
      <c r="E118" s="34" t="s">
        <v>51</v>
      </c>
      <c r="F118" s="34"/>
      <c r="G118" s="34"/>
      <c r="H118" s="37"/>
      <c r="I118" s="35" t="s">
        <v>972</v>
      </c>
      <c r="J118" s="36">
        <v>42430</v>
      </c>
      <c r="K118" s="36"/>
      <c r="L118" s="36">
        <v>42521</v>
      </c>
      <c r="M118" s="37" t="s">
        <v>153</v>
      </c>
      <c r="N118" s="37" t="s">
        <v>973</v>
      </c>
      <c r="O118" s="38" t="s">
        <v>457</v>
      </c>
      <c r="P118" s="38" t="s">
        <v>711</v>
      </c>
      <c r="Q118" s="37" t="s">
        <v>209</v>
      </c>
      <c r="R118" s="36">
        <v>42422</v>
      </c>
      <c r="S118" s="37" t="s">
        <v>405</v>
      </c>
      <c r="T118" s="36">
        <v>40403</v>
      </c>
      <c r="U118" s="37"/>
      <c r="V118" s="37"/>
      <c r="W118" s="37"/>
      <c r="X118" s="37"/>
      <c r="Y118" s="37"/>
      <c r="Z118" s="37"/>
      <c r="AA118" s="36"/>
      <c r="AB118" s="37"/>
      <c r="AC118" s="39"/>
      <c r="AD118" s="38" t="str">
        <f t="shared" si="6"/>
        <v>0년 0개월</v>
      </c>
      <c r="AE118" s="39">
        <f ca="1">(재직자!$AL$1-J118)/30</f>
        <v>122.8</v>
      </c>
      <c r="AF118" s="39" t="str">
        <f t="shared" ca="1" si="7"/>
        <v>10년 2개월</v>
      </c>
      <c r="AG118" s="39">
        <f t="shared" ca="1" si="8"/>
        <v>122.8</v>
      </c>
      <c r="AH118" s="39" t="str">
        <f t="shared" ca="1" si="9"/>
        <v>10년 2개월</v>
      </c>
      <c r="AI118" s="43" t="s">
        <v>974</v>
      </c>
      <c r="AJ118" s="33" t="s">
        <v>975</v>
      </c>
      <c r="AK118" s="62" t="s">
        <v>976</v>
      </c>
      <c r="AL118" s="37"/>
      <c r="AM118" s="37" t="s">
        <v>977</v>
      </c>
      <c r="AN118" s="54" t="s">
        <v>978</v>
      </c>
      <c r="AO118" s="32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</row>
    <row r="119" spans="1:54" ht="15" customHeight="1">
      <c r="A119" s="33" t="s">
        <v>788</v>
      </c>
      <c r="B119" s="59">
        <v>130210</v>
      </c>
      <c r="C119" s="37" t="s">
        <v>193</v>
      </c>
      <c r="D119" s="37" t="s">
        <v>979</v>
      </c>
      <c r="E119" s="37" t="s">
        <v>51</v>
      </c>
      <c r="F119" s="38" t="s">
        <v>980</v>
      </c>
      <c r="G119" s="37" t="s">
        <v>880</v>
      </c>
      <c r="H119" s="37" t="s">
        <v>891</v>
      </c>
      <c r="I119" s="37" t="s">
        <v>981</v>
      </c>
      <c r="J119" s="36">
        <v>41330</v>
      </c>
      <c r="K119" s="36"/>
      <c r="L119" s="36">
        <v>42524</v>
      </c>
      <c r="M119" s="37" t="s">
        <v>153</v>
      </c>
      <c r="N119" s="37" t="s">
        <v>982</v>
      </c>
      <c r="O119" s="37" t="s">
        <v>319</v>
      </c>
      <c r="P119" s="37"/>
      <c r="Q119" s="37" t="s">
        <v>209</v>
      </c>
      <c r="R119" s="36">
        <v>41137</v>
      </c>
      <c r="S119" s="37" t="s">
        <v>275</v>
      </c>
      <c r="T119" s="36">
        <v>41138</v>
      </c>
      <c r="U119" s="37"/>
      <c r="V119" s="36"/>
      <c r="W119" s="37"/>
      <c r="X119" s="37"/>
      <c r="Y119" s="37" t="s">
        <v>276</v>
      </c>
      <c r="Z119" s="37"/>
      <c r="AA119" s="37"/>
      <c r="AB119" s="37"/>
      <c r="AC119" s="39">
        <v>0</v>
      </c>
      <c r="AD119" s="37" t="str">
        <f t="shared" si="6"/>
        <v>0년 0개월</v>
      </c>
      <c r="AE119" s="39">
        <f ca="1">(재직자!$AL$1-J119)/30</f>
        <v>159.46666666666667</v>
      </c>
      <c r="AF119" s="37" t="str">
        <f t="shared" ca="1" si="7"/>
        <v>13년 3개월</v>
      </c>
      <c r="AG119" s="39">
        <f t="shared" ca="1" si="8"/>
        <v>159.46666666666667</v>
      </c>
      <c r="AH119" s="37" t="str">
        <f t="shared" ca="1" si="9"/>
        <v>13년 3개월</v>
      </c>
      <c r="AI119" s="44" t="s">
        <v>983</v>
      </c>
      <c r="AJ119" s="37" t="s">
        <v>984</v>
      </c>
      <c r="AK119" s="50" t="s">
        <v>985</v>
      </c>
      <c r="AL119" s="37"/>
      <c r="AM119" s="37" t="s">
        <v>986</v>
      </c>
      <c r="AN119" s="54">
        <v>9.0500000000000007</v>
      </c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</row>
    <row r="120" spans="1:54" ht="16.5" customHeight="1">
      <c r="A120" s="33" t="s">
        <v>987</v>
      </c>
      <c r="B120" s="33" t="s">
        <v>988</v>
      </c>
      <c r="C120" s="33" t="s">
        <v>226</v>
      </c>
      <c r="D120" s="34" t="s">
        <v>989</v>
      </c>
      <c r="E120" s="34" t="s">
        <v>44</v>
      </c>
      <c r="F120" s="34"/>
      <c r="G120" s="34" t="s">
        <v>771</v>
      </c>
      <c r="H120" s="34"/>
      <c r="I120" s="35" t="s">
        <v>990</v>
      </c>
      <c r="J120" s="36">
        <v>42520</v>
      </c>
      <c r="K120" s="36"/>
      <c r="L120" s="36">
        <v>42558</v>
      </c>
      <c r="M120" s="37" t="s">
        <v>153</v>
      </c>
      <c r="N120" s="37" t="s">
        <v>991</v>
      </c>
      <c r="O120" s="38" t="s">
        <v>992</v>
      </c>
      <c r="P120" s="38"/>
      <c r="Q120" s="37" t="s">
        <v>209</v>
      </c>
      <c r="R120" s="36">
        <v>40596</v>
      </c>
      <c r="S120" s="37"/>
      <c r="T120" s="36"/>
      <c r="U120" s="37"/>
      <c r="V120" s="36"/>
      <c r="W120" s="37"/>
      <c r="X120" s="36"/>
      <c r="Y120" s="37"/>
      <c r="Z120" s="37"/>
      <c r="AA120" s="36"/>
      <c r="AB120" s="37"/>
      <c r="AC120" s="39">
        <v>44</v>
      </c>
      <c r="AD120" s="38" t="str">
        <f t="shared" si="6"/>
        <v>3년 8개월</v>
      </c>
      <c r="AE120" s="39">
        <f ca="1">(재직자!$AL$1-J120)/30</f>
        <v>119.8</v>
      </c>
      <c r="AF120" s="39" t="str">
        <f t="shared" ca="1" si="7"/>
        <v>9년 11개월</v>
      </c>
      <c r="AG120" s="39">
        <f t="shared" ca="1" si="8"/>
        <v>163.80000000000001</v>
      </c>
      <c r="AH120" s="39" t="str">
        <f t="shared" ca="1" si="9"/>
        <v>13년 7개월</v>
      </c>
      <c r="AI120" s="43" t="s">
        <v>993</v>
      </c>
      <c r="AJ120" s="33" t="s">
        <v>994</v>
      </c>
      <c r="AK120" s="62" t="s">
        <v>995</v>
      </c>
      <c r="AL120" s="37"/>
      <c r="AM120" s="37" t="s">
        <v>996</v>
      </c>
      <c r="AN120" s="54" t="s">
        <v>997</v>
      </c>
      <c r="AO120" s="32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</row>
    <row r="121" spans="1:54" ht="16.5" customHeight="1">
      <c r="A121" s="33" t="s">
        <v>998</v>
      </c>
      <c r="B121" s="33" t="s">
        <v>999</v>
      </c>
      <c r="C121" s="33" t="s">
        <v>193</v>
      </c>
      <c r="D121" s="34" t="s">
        <v>1000</v>
      </c>
      <c r="E121" s="34" t="s">
        <v>34</v>
      </c>
      <c r="F121" s="34" t="s">
        <v>1001</v>
      </c>
      <c r="G121" s="34" t="s">
        <v>880</v>
      </c>
      <c r="H121" s="37"/>
      <c r="I121" s="35" t="s">
        <v>1002</v>
      </c>
      <c r="J121" s="36">
        <v>42450</v>
      </c>
      <c r="K121" s="36"/>
      <c r="L121" s="36">
        <v>42559</v>
      </c>
      <c r="M121" s="37" t="s">
        <v>153</v>
      </c>
      <c r="N121" s="37" t="s">
        <v>551</v>
      </c>
      <c r="O121" s="38" t="s">
        <v>945</v>
      </c>
      <c r="P121" s="38" t="s">
        <v>964</v>
      </c>
      <c r="Q121" s="37" t="s">
        <v>209</v>
      </c>
      <c r="R121" s="36">
        <v>35482</v>
      </c>
      <c r="S121" s="37"/>
      <c r="T121" s="36"/>
      <c r="U121" s="37"/>
      <c r="V121" s="37"/>
      <c r="W121" s="37"/>
      <c r="X121" s="37"/>
      <c r="Y121" s="37" t="s">
        <v>199</v>
      </c>
      <c r="Z121" s="37"/>
      <c r="AA121" s="36"/>
      <c r="AB121" s="37"/>
      <c r="AC121" s="39">
        <v>171</v>
      </c>
      <c r="AD121" s="38" t="str">
        <f t="shared" si="6"/>
        <v>14년 3개월</v>
      </c>
      <c r="AE121" s="39">
        <f ca="1">(재직자!$AL$1-J121)/30</f>
        <v>122.13333333333334</v>
      </c>
      <c r="AF121" s="39" t="str">
        <f t="shared" ca="1" si="7"/>
        <v>10년 2개월</v>
      </c>
      <c r="AG121" s="39">
        <f t="shared" ca="1" si="8"/>
        <v>293.13333333333333</v>
      </c>
      <c r="AH121" s="39" t="str">
        <f t="shared" ca="1" si="9"/>
        <v>24년 5개월</v>
      </c>
      <c r="AI121" s="43" t="s">
        <v>1003</v>
      </c>
      <c r="AJ121" s="33" t="s">
        <v>1004</v>
      </c>
      <c r="AK121" s="62" t="s">
        <v>1005</v>
      </c>
      <c r="AL121" s="37"/>
      <c r="AM121" s="37" t="s">
        <v>1006</v>
      </c>
      <c r="AN121" s="54" t="s">
        <v>1007</v>
      </c>
      <c r="AO121" s="32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</row>
    <row r="122" spans="1:54" ht="16.5" customHeight="1">
      <c r="A122" s="33" t="s">
        <v>224</v>
      </c>
      <c r="B122" s="33" t="s">
        <v>1008</v>
      </c>
      <c r="C122" s="33" t="s">
        <v>193</v>
      </c>
      <c r="D122" s="34" t="s">
        <v>574</v>
      </c>
      <c r="E122" s="34" t="s">
        <v>44</v>
      </c>
      <c r="F122" s="34" t="s">
        <v>1009</v>
      </c>
      <c r="G122" s="34" t="s">
        <v>880</v>
      </c>
      <c r="H122" s="34"/>
      <c r="I122" s="35" t="s">
        <v>575</v>
      </c>
      <c r="J122" s="36">
        <v>42401</v>
      </c>
      <c r="K122" s="36"/>
      <c r="L122" s="36">
        <v>42580</v>
      </c>
      <c r="M122" s="37" t="s">
        <v>448</v>
      </c>
      <c r="N122" s="37" t="s">
        <v>1010</v>
      </c>
      <c r="O122" s="38"/>
      <c r="P122" s="38" t="s">
        <v>1011</v>
      </c>
      <c r="Q122" s="37" t="s">
        <v>448</v>
      </c>
      <c r="R122" s="36"/>
      <c r="S122" s="37"/>
      <c r="T122" s="36"/>
      <c r="U122" s="37" t="s">
        <v>576</v>
      </c>
      <c r="V122" s="36">
        <v>40634</v>
      </c>
      <c r="W122" s="37"/>
      <c r="X122" s="37"/>
      <c r="Y122" s="37" t="s">
        <v>210</v>
      </c>
      <c r="Z122" s="37"/>
      <c r="AA122" s="36"/>
      <c r="AB122" s="37"/>
      <c r="AC122" s="39">
        <v>51</v>
      </c>
      <c r="AD122" s="38" t="str">
        <f t="shared" si="6"/>
        <v>4년 3개월</v>
      </c>
      <c r="AE122" s="39">
        <f ca="1">(재직자!$AL$1-J122)/30</f>
        <v>123.76666666666667</v>
      </c>
      <c r="AF122" s="39" t="str">
        <f t="shared" ca="1" si="7"/>
        <v>10년 3개월</v>
      </c>
      <c r="AG122" s="39">
        <f t="shared" ca="1" si="8"/>
        <v>174.76666666666665</v>
      </c>
      <c r="AH122" s="39" t="str">
        <f t="shared" ca="1" si="9"/>
        <v>14년 6개월</v>
      </c>
      <c r="AI122" s="43" t="s">
        <v>1012</v>
      </c>
      <c r="AJ122" s="33" t="s">
        <v>578</v>
      </c>
      <c r="AK122" s="62" t="s">
        <v>579</v>
      </c>
      <c r="AL122" s="37"/>
      <c r="AM122" s="37" t="s">
        <v>1013</v>
      </c>
      <c r="AN122" s="54" t="s">
        <v>1014</v>
      </c>
      <c r="AO122" s="32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</row>
    <row r="123" spans="1:54" ht="16.5" customHeight="1">
      <c r="A123" s="33" t="s">
        <v>899</v>
      </c>
      <c r="B123" s="33" t="s">
        <v>1015</v>
      </c>
      <c r="C123" s="33" t="s">
        <v>193</v>
      </c>
      <c r="D123" s="34" t="s">
        <v>1016</v>
      </c>
      <c r="E123" s="34" t="s">
        <v>625</v>
      </c>
      <c r="F123" s="34" t="s">
        <v>1017</v>
      </c>
      <c r="G123" s="34" t="s">
        <v>61</v>
      </c>
      <c r="H123" s="34"/>
      <c r="I123" s="35" t="s">
        <v>1018</v>
      </c>
      <c r="J123" s="36">
        <v>42248</v>
      </c>
      <c r="K123" s="36"/>
      <c r="L123" s="36">
        <v>42587</v>
      </c>
      <c r="M123" s="37" t="s">
        <v>153</v>
      </c>
      <c r="N123" s="37" t="s">
        <v>1019</v>
      </c>
      <c r="O123" s="38" t="s">
        <v>457</v>
      </c>
      <c r="P123" s="38" t="s">
        <v>711</v>
      </c>
      <c r="Q123" s="37" t="s">
        <v>209</v>
      </c>
      <c r="R123" s="36">
        <v>33660</v>
      </c>
      <c r="S123" s="37"/>
      <c r="T123" s="37"/>
      <c r="U123" s="37"/>
      <c r="V123" s="37"/>
      <c r="W123" s="37"/>
      <c r="X123" s="37"/>
      <c r="Y123" s="37" t="s">
        <v>199</v>
      </c>
      <c r="Z123" s="37"/>
      <c r="AA123" s="36"/>
      <c r="AB123" s="37"/>
      <c r="AC123" s="39">
        <v>280</v>
      </c>
      <c r="AD123" s="38" t="str">
        <f t="shared" si="6"/>
        <v>23년 4개월</v>
      </c>
      <c r="AE123" s="39">
        <f ca="1">(재직자!$AL$1-J123)/30</f>
        <v>128.86666666666667</v>
      </c>
      <c r="AF123" s="39" t="str">
        <f t="shared" ca="1" si="7"/>
        <v>10년 8개월</v>
      </c>
      <c r="AG123" s="39">
        <f t="shared" ca="1" si="8"/>
        <v>408.86666666666667</v>
      </c>
      <c r="AH123" s="39" t="str">
        <f t="shared" ca="1" si="9"/>
        <v>34년 0개월</v>
      </c>
      <c r="AI123" s="43" t="s">
        <v>1020</v>
      </c>
      <c r="AJ123" s="33" t="s">
        <v>1021</v>
      </c>
      <c r="AK123" s="50" t="s">
        <v>1022</v>
      </c>
      <c r="AL123" s="37">
        <v>2611</v>
      </c>
      <c r="AM123" s="37" t="s">
        <v>1023</v>
      </c>
      <c r="AN123" s="54" t="s">
        <v>1024</v>
      </c>
      <c r="AO123" s="32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</row>
    <row r="124" spans="1:54" ht="16.5" customHeight="1">
      <c r="A124" s="33" t="s">
        <v>1025</v>
      </c>
      <c r="B124" s="33" t="s">
        <v>1026</v>
      </c>
      <c r="C124" s="33" t="s">
        <v>226</v>
      </c>
      <c r="D124" s="34" t="s">
        <v>531</v>
      </c>
      <c r="E124" s="34" t="s">
        <v>139</v>
      </c>
      <c r="F124" s="34"/>
      <c r="G124" s="34"/>
      <c r="H124" s="34"/>
      <c r="I124" s="35"/>
      <c r="J124" s="36">
        <v>42583</v>
      </c>
      <c r="K124" s="36"/>
      <c r="L124" s="36">
        <v>42613</v>
      </c>
      <c r="M124" s="37"/>
      <c r="N124" s="37"/>
      <c r="O124" s="38"/>
      <c r="P124" s="38"/>
      <c r="Q124" s="37"/>
      <c r="R124" s="36"/>
      <c r="S124" s="37"/>
      <c r="T124" s="36"/>
      <c r="U124" s="37"/>
      <c r="V124" s="36"/>
      <c r="W124" s="37"/>
      <c r="X124" s="36"/>
      <c r="Y124" s="37" t="s">
        <v>199</v>
      </c>
      <c r="Z124" s="37"/>
      <c r="AA124" s="36"/>
      <c r="AB124" s="37"/>
      <c r="AC124" s="39"/>
      <c r="AD124" s="38" t="str">
        <f t="shared" si="6"/>
        <v>0년 0개월</v>
      </c>
      <c r="AE124" s="39">
        <f ca="1">(재직자!$AL$1-J124)/30</f>
        <v>117.7</v>
      </c>
      <c r="AF124" s="39" t="str">
        <f t="shared" ca="1" si="7"/>
        <v>9년 9개월</v>
      </c>
      <c r="AG124" s="39">
        <f t="shared" ca="1" si="8"/>
        <v>117.7</v>
      </c>
      <c r="AH124" s="39" t="str">
        <f t="shared" ca="1" si="9"/>
        <v>9년 9개월</v>
      </c>
      <c r="AI124" s="43"/>
      <c r="AJ124" s="33"/>
      <c r="AK124" s="62" t="s">
        <v>535</v>
      </c>
      <c r="AL124" s="37"/>
      <c r="AM124" s="37"/>
      <c r="AN124" s="54"/>
      <c r="AO124" s="32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</row>
    <row r="125" spans="1:54" ht="15" customHeight="1">
      <c r="A125" s="33" t="s">
        <v>109</v>
      </c>
      <c r="B125" s="33" t="s">
        <v>1027</v>
      </c>
      <c r="C125" s="33" t="s">
        <v>924</v>
      </c>
      <c r="D125" s="34" t="s">
        <v>1028</v>
      </c>
      <c r="E125" s="34" t="s">
        <v>34</v>
      </c>
      <c r="F125" s="38" t="s">
        <v>1029</v>
      </c>
      <c r="G125" s="34" t="s">
        <v>839</v>
      </c>
      <c r="H125" s="34" t="s">
        <v>1030</v>
      </c>
      <c r="I125" s="35" t="s">
        <v>1031</v>
      </c>
      <c r="J125" s="36">
        <v>40091</v>
      </c>
      <c r="K125" s="36">
        <v>41091</v>
      </c>
      <c r="L125" s="36">
        <v>42664</v>
      </c>
      <c r="M125" s="37" t="s">
        <v>153</v>
      </c>
      <c r="N125" s="37" t="s">
        <v>1032</v>
      </c>
      <c r="O125" s="38" t="s">
        <v>1033</v>
      </c>
      <c r="P125" s="38"/>
      <c r="Q125" s="37" t="s">
        <v>209</v>
      </c>
      <c r="R125" s="36">
        <v>36579</v>
      </c>
      <c r="S125" s="37"/>
      <c r="T125" s="37"/>
      <c r="U125" s="37"/>
      <c r="V125" s="37"/>
      <c r="W125" s="37"/>
      <c r="X125" s="37"/>
      <c r="Y125" s="37" t="s">
        <v>199</v>
      </c>
      <c r="Z125" s="37" t="s">
        <v>211</v>
      </c>
      <c r="AA125" s="36" t="e">
        <f>+VLOOKUP($D125,[1]Sheet1!$A$1:$C$42,3,0)</f>
        <v>#N/A</v>
      </c>
      <c r="AB125" s="37" t="s">
        <v>230</v>
      </c>
      <c r="AC125" s="39">
        <v>82</v>
      </c>
      <c r="AD125" s="38" t="str">
        <f t="shared" si="6"/>
        <v>6년 10개월</v>
      </c>
      <c r="AE125" s="39">
        <f ca="1">(재직자!$AL$1-J125)/30</f>
        <v>200.76666666666668</v>
      </c>
      <c r="AF125" s="39" t="str">
        <f t="shared" ca="1" si="7"/>
        <v>16년 8개월</v>
      </c>
      <c r="AG125" s="39">
        <f t="shared" ca="1" si="8"/>
        <v>282.76666666666665</v>
      </c>
      <c r="AH125" s="39" t="str">
        <f t="shared" ca="1" si="9"/>
        <v>23년 6개월</v>
      </c>
      <c r="AI125" s="43" t="s">
        <v>1034</v>
      </c>
      <c r="AJ125" s="33" t="s">
        <v>1035</v>
      </c>
      <c r="AK125" s="44" t="s">
        <v>1036</v>
      </c>
      <c r="AL125" s="37"/>
      <c r="AM125" s="37" t="s">
        <v>1037</v>
      </c>
      <c r="AN125" s="54" t="s">
        <v>1038</v>
      </c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</row>
    <row r="126" spans="1:54" ht="15" customHeight="1">
      <c r="A126" s="33" t="s">
        <v>115</v>
      </c>
      <c r="B126" s="33" t="s">
        <v>1039</v>
      </c>
      <c r="C126" s="33" t="s">
        <v>193</v>
      </c>
      <c r="D126" s="34" t="s">
        <v>1040</v>
      </c>
      <c r="E126" s="34" t="s">
        <v>88</v>
      </c>
      <c r="F126" s="38" t="s">
        <v>1041</v>
      </c>
      <c r="G126" s="34" t="s">
        <v>61</v>
      </c>
      <c r="H126" s="37" t="s">
        <v>845</v>
      </c>
      <c r="I126" s="35" t="s">
        <v>1042</v>
      </c>
      <c r="J126" s="36">
        <v>40357</v>
      </c>
      <c r="K126" s="36">
        <v>41821</v>
      </c>
      <c r="L126" s="36">
        <v>42674</v>
      </c>
      <c r="M126" s="37" t="s">
        <v>153</v>
      </c>
      <c r="N126" s="37" t="s">
        <v>1032</v>
      </c>
      <c r="O126" s="38" t="s">
        <v>1043</v>
      </c>
      <c r="P126" s="38"/>
      <c r="Q126" s="37" t="s">
        <v>209</v>
      </c>
      <c r="R126" s="36">
        <v>39864</v>
      </c>
      <c r="S126" s="37" t="s">
        <v>1044</v>
      </c>
      <c r="T126" s="36">
        <v>41203</v>
      </c>
      <c r="U126" s="37"/>
      <c r="V126" s="37"/>
      <c r="W126" s="37"/>
      <c r="X126" s="37"/>
      <c r="Y126" s="37" t="s">
        <v>276</v>
      </c>
      <c r="Z126" s="37"/>
      <c r="AA126" s="36" t="e">
        <f>+VLOOKUP($D126,[1]Sheet1!$A$1:$C$42,3,0)</f>
        <v>#N/A</v>
      </c>
      <c r="AB126" s="37" t="s">
        <v>276</v>
      </c>
      <c r="AC126" s="39">
        <v>30</v>
      </c>
      <c r="AD126" s="38" t="str">
        <f t="shared" si="6"/>
        <v>2년 6개월</v>
      </c>
      <c r="AE126" s="39">
        <f ca="1">(재직자!$AL$1-J126)/30</f>
        <v>191.9</v>
      </c>
      <c r="AF126" s="39" t="str">
        <f t="shared" ca="1" si="7"/>
        <v>15년 11개월</v>
      </c>
      <c r="AG126" s="39">
        <f t="shared" ca="1" si="8"/>
        <v>221.9</v>
      </c>
      <c r="AH126" s="39" t="str">
        <f t="shared" ca="1" si="9"/>
        <v>18년 5개월</v>
      </c>
      <c r="AI126" s="43" t="s">
        <v>1045</v>
      </c>
      <c r="AJ126" s="33" t="s">
        <v>1046</v>
      </c>
      <c r="AK126" s="50" t="s">
        <v>1047</v>
      </c>
      <c r="AL126" s="37">
        <v>2617</v>
      </c>
      <c r="AM126" s="37" t="s">
        <v>1048</v>
      </c>
      <c r="AN126" s="54">
        <v>10.039999999999999</v>
      </c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</row>
    <row r="127" spans="1:54" ht="15" customHeight="1">
      <c r="A127" s="33" t="s">
        <v>112</v>
      </c>
      <c r="B127" s="33" t="s">
        <v>1049</v>
      </c>
      <c r="C127" s="33" t="s">
        <v>193</v>
      </c>
      <c r="D127" s="34" t="s">
        <v>1050</v>
      </c>
      <c r="E127" s="34" t="s">
        <v>1051</v>
      </c>
      <c r="F127" s="38" t="s">
        <v>1052</v>
      </c>
      <c r="G127" s="34" t="s">
        <v>880</v>
      </c>
      <c r="H127" s="37" t="s">
        <v>845</v>
      </c>
      <c r="I127" s="35" t="s">
        <v>1053</v>
      </c>
      <c r="J127" s="36">
        <v>40192</v>
      </c>
      <c r="K127" s="36">
        <v>40544</v>
      </c>
      <c r="L127" s="36">
        <v>42685</v>
      </c>
      <c r="M127" s="37" t="s">
        <v>196</v>
      </c>
      <c r="N127" s="37" t="s">
        <v>208</v>
      </c>
      <c r="O127" s="38" t="s">
        <v>491</v>
      </c>
      <c r="P127" s="38"/>
      <c r="Q127" s="37" t="s">
        <v>198</v>
      </c>
      <c r="R127" s="36">
        <v>36217</v>
      </c>
      <c r="S127" s="37" t="s">
        <v>275</v>
      </c>
      <c r="T127" s="37"/>
      <c r="U127" s="37"/>
      <c r="V127" s="37"/>
      <c r="W127" s="37"/>
      <c r="X127" s="37"/>
      <c r="Y127" s="37" t="s">
        <v>199</v>
      </c>
      <c r="Z127" s="37" t="s">
        <v>211</v>
      </c>
      <c r="AA127" s="36" t="e">
        <f>+VLOOKUP($D127,[1]Sheet1!$A$1:$C$42,3,0)</f>
        <v>#N/A</v>
      </c>
      <c r="AB127" s="37" t="e">
        <f>+VLOOKUP($D127,[1]Sheet1!$A$1:$C$42,2,0)</f>
        <v>#N/A</v>
      </c>
      <c r="AC127" s="39">
        <v>155</v>
      </c>
      <c r="AD127" s="38" t="str">
        <f t="shared" si="6"/>
        <v>12년 11개월</v>
      </c>
      <c r="AE127" s="39">
        <f ca="1">(재직자!$AL$1-J127)/30</f>
        <v>197.4</v>
      </c>
      <c r="AF127" s="39" t="str">
        <f t="shared" ca="1" si="7"/>
        <v>16년 5개월</v>
      </c>
      <c r="AG127" s="39">
        <f t="shared" ca="1" si="8"/>
        <v>352.4</v>
      </c>
      <c r="AH127" s="39" t="str">
        <f t="shared" ca="1" si="9"/>
        <v>29년 4개월</v>
      </c>
      <c r="AI127" s="43" t="s">
        <v>1054</v>
      </c>
      <c r="AJ127" s="33" t="s">
        <v>1055</v>
      </c>
      <c r="AK127" s="50" t="s">
        <v>1056</v>
      </c>
      <c r="AL127" s="37">
        <v>2616</v>
      </c>
      <c r="AM127" s="37" t="s">
        <v>1057</v>
      </c>
      <c r="AN127" s="54" t="s">
        <v>1058</v>
      </c>
      <c r="AO127" s="9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</row>
    <row r="128" spans="1:54" ht="15" customHeight="1">
      <c r="A128" s="33" t="s">
        <v>183</v>
      </c>
      <c r="B128" s="33" t="s">
        <v>1059</v>
      </c>
      <c r="C128" s="33" t="s">
        <v>924</v>
      </c>
      <c r="D128" s="34" t="s">
        <v>1060</v>
      </c>
      <c r="E128" s="34" t="s">
        <v>44</v>
      </c>
      <c r="F128" s="38" t="s">
        <v>1061</v>
      </c>
      <c r="G128" s="34" t="s">
        <v>839</v>
      </c>
      <c r="H128" s="34" t="s">
        <v>927</v>
      </c>
      <c r="I128" s="35" t="s">
        <v>1062</v>
      </c>
      <c r="J128" s="36">
        <v>40961</v>
      </c>
      <c r="K128" s="36">
        <v>41640</v>
      </c>
      <c r="L128" s="36">
        <v>42723</v>
      </c>
      <c r="M128" s="37" t="s">
        <v>448</v>
      </c>
      <c r="N128" s="37" t="s">
        <v>1063</v>
      </c>
      <c r="O128" s="38"/>
      <c r="P128" s="38"/>
      <c r="Q128" s="37" t="s">
        <v>448</v>
      </c>
      <c r="R128" s="36">
        <v>38763</v>
      </c>
      <c r="S128" s="37" t="s">
        <v>821</v>
      </c>
      <c r="T128" s="36">
        <v>40908</v>
      </c>
      <c r="U128" s="37" t="s">
        <v>1064</v>
      </c>
      <c r="V128" s="36">
        <v>41019</v>
      </c>
      <c r="W128" s="37"/>
      <c r="X128" s="37"/>
      <c r="Y128" s="37" t="s">
        <v>210</v>
      </c>
      <c r="Z128" s="37" t="s">
        <v>211</v>
      </c>
      <c r="AA128" s="36"/>
      <c r="AB128" s="37" t="s">
        <v>210</v>
      </c>
      <c r="AC128" s="39">
        <v>0</v>
      </c>
      <c r="AD128" s="38" t="str">
        <f t="shared" si="6"/>
        <v>0년 0개월</v>
      </c>
      <c r="AE128" s="39">
        <f ca="1">(재직자!$AL$1-J128)/30</f>
        <v>171.76666666666668</v>
      </c>
      <c r="AF128" s="39" t="str">
        <f t="shared" ca="1" si="7"/>
        <v>14년 3개월</v>
      </c>
      <c r="AG128" s="39">
        <f t="shared" ca="1" si="8"/>
        <v>171.76666666666668</v>
      </c>
      <c r="AH128" s="39" t="str">
        <f t="shared" ca="1" si="9"/>
        <v>14년 3개월</v>
      </c>
      <c r="AI128" s="43" t="s">
        <v>1065</v>
      </c>
      <c r="AJ128" s="33" t="s">
        <v>1066</v>
      </c>
      <c r="AK128" s="50" t="s">
        <v>1067</v>
      </c>
      <c r="AL128" s="37"/>
      <c r="AM128" s="37" t="s">
        <v>1068</v>
      </c>
      <c r="AN128" s="54">
        <v>9.09</v>
      </c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</row>
    <row r="129" spans="1:54" ht="15" customHeight="1">
      <c r="A129" s="33" t="s">
        <v>536</v>
      </c>
      <c r="B129" s="37">
        <v>130601</v>
      </c>
      <c r="C129" s="37" t="s">
        <v>193</v>
      </c>
      <c r="D129" s="37" t="s">
        <v>1069</v>
      </c>
      <c r="E129" s="37" t="s">
        <v>88</v>
      </c>
      <c r="F129" s="38" t="s">
        <v>1070</v>
      </c>
      <c r="G129" s="34" t="s">
        <v>61</v>
      </c>
      <c r="H129" s="37" t="s">
        <v>845</v>
      </c>
      <c r="I129" s="37" t="s">
        <v>1071</v>
      </c>
      <c r="J129" s="36">
        <v>41449</v>
      </c>
      <c r="K129" s="36"/>
      <c r="L129" s="36">
        <v>42745</v>
      </c>
      <c r="M129" s="37" t="s">
        <v>153</v>
      </c>
      <c r="N129" s="37" t="s">
        <v>1072</v>
      </c>
      <c r="O129" s="37" t="s">
        <v>617</v>
      </c>
      <c r="P129" s="37" t="s">
        <v>1073</v>
      </c>
      <c r="Q129" s="37" t="s">
        <v>209</v>
      </c>
      <c r="R129" s="36">
        <v>38401</v>
      </c>
      <c r="S129" s="37" t="s">
        <v>275</v>
      </c>
      <c r="T129" s="36">
        <v>39099</v>
      </c>
      <c r="U129" s="37" t="s">
        <v>526</v>
      </c>
      <c r="V129" s="36">
        <v>39023</v>
      </c>
      <c r="W129" s="37" t="s">
        <v>1074</v>
      </c>
      <c r="X129" s="36">
        <v>39036</v>
      </c>
      <c r="Y129" s="37" t="s">
        <v>199</v>
      </c>
      <c r="Z129" s="37" t="s">
        <v>211</v>
      </c>
      <c r="AA129" s="37"/>
      <c r="AB129" s="37" t="s">
        <v>230</v>
      </c>
      <c r="AC129" s="39">
        <v>75</v>
      </c>
      <c r="AD129" s="37" t="str">
        <f t="shared" si="6"/>
        <v>6년 3개월</v>
      </c>
      <c r="AE129" s="39">
        <f ca="1">(재직자!$AL$1-J129)/30</f>
        <v>155.5</v>
      </c>
      <c r="AF129" s="37" t="str">
        <f t="shared" ca="1" si="7"/>
        <v>12년 11개월</v>
      </c>
      <c r="AG129" s="39">
        <f t="shared" ca="1" si="8"/>
        <v>230.5</v>
      </c>
      <c r="AH129" s="37" t="str">
        <f t="shared" ca="1" si="9"/>
        <v>19년 2개월</v>
      </c>
      <c r="AI129" s="44" t="s">
        <v>1075</v>
      </c>
      <c r="AJ129" s="37" t="s">
        <v>1076</v>
      </c>
      <c r="AK129" s="50" t="s">
        <v>1077</v>
      </c>
      <c r="AL129" s="37"/>
      <c r="AM129" s="37" t="s">
        <v>1078</v>
      </c>
      <c r="AN129" s="54">
        <v>6.13</v>
      </c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</row>
    <row r="130" spans="1:54" ht="15" customHeight="1">
      <c r="A130" s="33" t="s">
        <v>216</v>
      </c>
      <c r="B130" s="37">
        <v>130204</v>
      </c>
      <c r="C130" s="37" t="s">
        <v>193</v>
      </c>
      <c r="D130" s="37" t="s">
        <v>1079</v>
      </c>
      <c r="E130" s="37" t="s">
        <v>88</v>
      </c>
      <c r="F130" s="38" t="s">
        <v>1080</v>
      </c>
      <c r="G130" s="37" t="s">
        <v>880</v>
      </c>
      <c r="H130" s="37" t="s">
        <v>891</v>
      </c>
      <c r="I130" s="37" t="s">
        <v>1081</v>
      </c>
      <c r="J130" s="36">
        <v>41309</v>
      </c>
      <c r="K130" s="36"/>
      <c r="L130" s="36">
        <v>42748</v>
      </c>
      <c r="M130" s="37" t="s">
        <v>146</v>
      </c>
      <c r="N130" s="37" t="s">
        <v>1082</v>
      </c>
      <c r="O130" s="37" t="s">
        <v>1083</v>
      </c>
      <c r="P130" s="37"/>
      <c r="Q130" s="37" t="s">
        <v>265</v>
      </c>
      <c r="R130" s="36">
        <v>38771</v>
      </c>
      <c r="S130" s="37"/>
      <c r="T130" s="37"/>
      <c r="U130" s="37"/>
      <c r="V130" s="37"/>
      <c r="W130" s="37"/>
      <c r="X130" s="37"/>
      <c r="Y130" s="37" t="s">
        <v>276</v>
      </c>
      <c r="Z130" s="37" t="s">
        <v>211</v>
      </c>
      <c r="AA130" s="37"/>
      <c r="AB130" s="37" t="s">
        <v>276</v>
      </c>
      <c r="AC130" s="39">
        <v>97.9</v>
      </c>
      <c r="AD130" s="37" t="str">
        <f t="shared" si="6"/>
        <v>8년 1개월</v>
      </c>
      <c r="AE130" s="39">
        <f ca="1">(재직자!$AL$1-J130)/30</f>
        <v>160.16666666666666</v>
      </c>
      <c r="AF130" s="37" t="str">
        <f t="shared" ca="1" si="7"/>
        <v>13년 4개월</v>
      </c>
      <c r="AG130" s="39">
        <f t="shared" ca="1" si="8"/>
        <v>258.06666666666666</v>
      </c>
      <c r="AH130" s="37" t="str">
        <f t="shared" ca="1" si="9"/>
        <v>21년 6개월</v>
      </c>
      <c r="AI130" s="44" t="s">
        <v>1084</v>
      </c>
      <c r="AJ130" s="37" t="s">
        <v>1085</v>
      </c>
      <c r="AK130" s="50" t="s">
        <v>1086</v>
      </c>
      <c r="AL130" s="37"/>
      <c r="AM130" s="37" t="s">
        <v>1087</v>
      </c>
      <c r="AN130" s="54" t="s">
        <v>632</v>
      </c>
      <c r="AO130" s="9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</row>
    <row r="131" spans="1:54" ht="15" customHeight="1">
      <c r="A131" s="33" t="s">
        <v>66</v>
      </c>
      <c r="B131" s="33" t="s">
        <v>1088</v>
      </c>
      <c r="C131" s="33" t="s">
        <v>193</v>
      </c>
      <c r="D131" s="34" t="s">
        <v>1089</v>
      </c>
      <c r="E131" s="34" t="s">
        <v>228</v>
      </c>
      <c r="F131" s="38" t="s">
        <v>1090</v>
      </c>
      <c r="G131" s="34" t="s">
        <v>61</v>
      </c>
      <c r="H131" s="37" t="s">
        <v>845</v>
      </c>
      <c r="I131" s="35" t="s">
        <v>1091</v>
      </c>
      <c r="J131" s="36">
        <v>38322</v>
      </c>
      <c r="K131" s="36">
        <v>40909</v>
      </c>
      <c r="L131" s="36">
        <v>42802</v>
      </c>
      <c r="M131" s="37" t="s">
        <v>153</v>
      </c>
      <c r="N131" s="37" t="s">
        <v>1092</v>
      </c>
      <c r="O131" s="38" t="s">
        <v>1093</v>
      </c>
      <c r="P131" s="38"/>
      <c r="Q131" s="37" t="s">
        <v>209</v>
      </c>
      <c r="R131" s="36">
        <v>36946</v>
      </c>
      <c r="S131" s="37"/>
      <c r="T131" s="37"/>
      <c r="U131" s="37"/>
      <c r="V131" s="37"/>
      <c r="W131" s="37"/>
      <c r="X131" s="37"/>
      <c r="Y131" s="37" t="s">
        <v>199</v>
      </c>
      <c r="Z131" s="37" t="s">
        <v>211</v>
      </c>
      <c r="AA131" s="36" t="e">
        <f>+VLOOKUP($D131,[1]Sheet1!$A$1:$C$42,3,0)</f>
        <v>#N/A</v>
      </c>
      <c r="AB131" s="37" t="s">
        <v>199</v>
      </c>
      <c r="AC131" s="39">
        <v>39</v>
      </c>
      <c r="AD131" s="38" t="str">
        <f t="shared" si="6"/>
        <v>3년 3개월</v>
      </c>
      <c r="AE131" s="39">
        <f ca="1">(재직자!$AL$1-J131)/30</f>
        <v>259.73333333333335</v>
      </c>
      <c r="AF131" s="39" t="str">
        <f t="shared" ca="1" si="7"/>
        <v>21년 7개월</v>
      </c>
      <c r="AG131" s="39">
        <f t="shared" ca="1" si="8"/>
        <v>298.73333333333335</v>
      </c>
      <c r="AH131" s="39" t="str">
        <f t="shared" ca="1" si="9"/>
        <v>24년 10개월</v>
      </c>
      <c r="AI131" s="43" t="s">
        <v>1094</v>
      </c>
      <c r="AJ131" s="33" t="s">
        <v>1095</v>
      </c>
      <c r="AK131" s="50" t="s">
        <v>1096</v>
      </c>
      <c r="AL131" s="37">
        <v>2619</v>
      </c>
      <c r="AM131" s="37" t="s">
        <v>1097</v>
      </c>
      <c r="AN131" s="54" t="s">
        <v>1098</v>
      </c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</row>
    <row r="132" spans="1:54" ht="15" customHeight="1">
      <c r="A132" s="33" t="s">
        <v>341</v>
      </c>
      <c r="B132" s="37">
        <v>130901</v>
      </c>
      <c r="C132" s="37" t="s">
        <v>193</v>
      </c>
      <c r="D132" s="37" t="s">
        <v>1099</v>
      </c>
      <c r="E132" s="37" t="s">
        <v>88</v>
      </c>
      <c r="F132" s="38" t="s">
        <v>1100</v>
      </c>
      <c r="G132" s="34" t="s">
        <v>61</v>
      </c>
      <c r="H132" s="34" t="s">
        <v>903</v>
      </c>
      <c r="I132" s="37" t="s">
        <v>1101</v>
      </c>
      <c r="J132" s="36">
        <v>41540</v>
      </c>
      <c r="K132" s="36">
        <v>42005</v>
      </c>
      <c r="L132" s="36">
        <v>42825</v>
      </c>
      <c r="M132" s="37" t="s">
        <v>153</v>
      </c>
      <c r="N132" s="37" t="s">
        <v>1102</v>
      </c>
      <c r="O132" s="37" t="s">
        <v>1103</v>
      </c>
      <c r="P132" s="37"/>
      <c r="Q132" s="37" t="s">
        <v>209</v>
      </c>
      <c r="R132" s="36"/>
      <c r="S132" s="37" t="s">
        <v>275</v>
      </c>
      <c r="T132" s="36">
        <v>38345</v>
      </c>
      <c r="U132" s="37"/>
      <c r="V132" s="36"/>
      <c r="W132" s="37"/>
      <c r="X132" s="37"/>
      <c r="Y132" s="37" t="s">
        <v>230</v>
      </c>
      <c r="Z132" s="37"/>
      <c r="AA132" s="37"/>
      <c r="AB132" s="37"/>
      <c r="AC132" s="39">
        <v>76</v>
      </c>
      <c r="AD132" s="37" t="str">
        <f t="shared" si="6"/>
        <v>6년 4개월</v>
      </c>
      <c r="AE132" s="39">
        <f ca="1">(재직자!$AL$1-J132)/30</f>
        <v>152.46666666666667</v>
      </c>
      <c r="AF132" s="37" t="str">
        <f t="shared" ca="1" si="7"/>
        <v>12년 8개월</v>
      </c>
      <c r="AG132" s="39">
        <f t="shared" ca="1" si="8"/>
        <v>228.46666666666667</v>
      </c>
      <c r="AH132" s="37" t="str">
        <f t="shared" ca="1" si="9"/>
        <v>19년 0개월</v>
      </c>
      <c r="AI132" s="63" t="s">
        <v>1104</v>
      </c>
      <c r="AJ132" s="37" t="s">
        <v>1105</v>
      </c>
      <c r="AK132" s="50" t="s">
        <v>1106</v>
      </c>
      <c r="AL132" s="37"/>
      <c r="AM132" s="37" t="s">
        <v>1107</v>
      </c>
      <c r="AN132" s="54">
        <v>5.0599999999999996</v>
      </c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</row>
    <row r="133" spans="1:54" ht="15" customHeight="1">
      <c r="A133" s="33" t="s">
        <v>818</v>
      </c>
      <c r="B133" s="33" t="s">
        <v>1108</v>
      </c>
      <c r="C133" s="33" t="s">
        <v>193</v>
      </c>
      <c r="D133" s="34" t="s">
        <v>133</v>
      </c>
      <c r="E133" s="34" t="s">
        <v>44</v>
      </c>
      <c r="F133" s="34" t="s">
        <v>1109</v>
      </c>
      <c r="G133" s="34" t="s">
        <v>61</v>
      </c>
      <c r="H133" s="37" t="s">
        <v>845</v>
      </c>
      <c r="I133" s="35" t="s">
        <v>1110</v>
      </c>
      <c r="J133" s="36">
        <v>42219</v>
      </c>
      <c r="K133" s="36"/>
      <c r="L133" s="36">
        <v>42832</v>
      </c>
      <c r="M133" s="37" t="s">
        <v>146</v>
      </c>
      <c r="N133" s="37" t="s">
        <v>1111</v>
      </c>
      <c r="O133" s="38" t="s">
        <v>1112</v>
      </c>
      <c r="P133" s="38"/>
      <c r="Q133" s="37" t="s">
        <v>265</v>
      </c>
      <c r="R133" s="36">
        <v>40220</v>
      </c>
      <c r="S133" s="37" t="s">
        <v>1113</v>
      </c>
      <c r="T133" s="36">
        <v>37815</v>
      </c>
      <c r="U133" s="37" t="s">
        <v>576</v>
      </c>
      <c r="V133" s="36">
        <v>40452</v>
      </c>
      <c r="W133" s="37"/>
      <c r="X133" s="37"/>
      <c r="Y133" s="37" t="s">
        <v>210</v>
      </c>
      <c r="Z133" s="37"/>
      <c r="AA133" s="36"/>
      <c r="AB133" s="37"/>
      <c r="AC133" s="39">
        <v>42</v>
      </c>
      <c r="AD133" s="38" t="str">
        <f t="shared" si="6"/>
        <v>3년 6개월</v>
      </c>
      <c r="AE133" s="39">
        <f ca="1">(재직자!$AL$1-J133)/30</f>
        <v>129.83333333333334</v>
      </c>
      <c r="AF133" s="39" t="str">
        <f t="shared" ca="1" si="7"/>
        <v>10년 9개월</v>
      </c>
      <c r="AG133" s="39">
        <f t="shared" ca="1" si="8"/>
        <v>171.83333333333334</v>
      </c>
      <c r="AH133" s="39" t="str">
        <f t="shared" ca="1" si="9"/>
        <v>14년 3개월</v>
      </c>
      <c r="AI133" s="43" t="s">
        <v>1114</v>
      </c>
      <c r="AJ133" s="33" t="s">
        <v>1115</v>
      </c>
      <c r="AK133" s="50" t="s">
        <v>1116</v>
      </c>
      <c r="AL133" s="37"/>
      <c r="AM133" s="37" t="s">
        <v>1117</v>
      </c>
      <c r="AN133" s="54" t="s">
        <v>1118</v>
      </c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</row>
    <row r="134" spans="1:54" ht="15" customHeight="1">
      <c r="A134" s="33" t="s">
        <v>100</v>
      </c>
      <c r="B134" s="33" t="s">
        <v>1119</v>
      </c>
      <c r="C134" s="33" t="s">
        <v>924</v>
      </c>
      <c r="D134" s="34" t="s">
        <v>1120</v>
      </c>
      <c r="E134" s="34" t="s">
        <v>34</v>
      </c>
      <c r="F134" s="38" t="s">
        <v>1121</v>
      </c>
      <c r="G134" s="34" t="s">
        <v>61</v>
      </c>
      <c r="H134" s="34" t="s">
        <v>903</v>
      </c>
      <c r="I134" s="35" t="s">
        <v>1122</v>
      </c>
      <c r="J134" s="36">
        <v>40021</v>
      </c>
      <c r="K134" s="36">
        <v>42552</v>
      </c>
      <c r="L134" s="36">
        <v>42855</v>
      </c>
      <c r="M134" s="37" t="s">
        <v>153</v>
      </c>
      <c r="N134" s="37" t="s">
        <v>1123</v>
      </c>
      <c r="O134" s="38" t="s">
        <v>1124</v>
      </c>
      <c r="P134" s="38"/>
      <c r="Q134" s="37" t="s">
        <v>209</v>
      </c>
      <c r="R134" s="36">
        <v>38770</v>
      </c>
      <c r="S134" s="37" t="s">
        <v>275</v>
      </c>
      <c r="T134" s="36">
        <v>38215</v>
      </c>
      <c r="U134" s="37"/>
      <c r="V134" s="36"/>
      <c r="W134" s="37"/>
      <c r="X134" s="37"/>
      <c r="Y134" s="37" t="s">
        <v>199</v>
      </c>
      <c r="Z134" s="37"/>
      <c r="AA134" s="36"/>
      <c r="AB134" s="37"/>
      <c r="AC134" s="39">
        <v>38</v>
      </c>
      <c r="AD134" s="38" t="str">
        <f t="shared" si="6"/>
        <v>3년 2개월</v>
      </c>
      <c r="AE134" s="39">
        <f ca="1">(재직자!$AL$1-J134)/30</f>
        <v>203.1</v>
      </c>
      <c r="AF134" s="39" t="str">
        <f t="shared" ca="1" si="7"/>
        <v>16년 11개월</v>
      </c>
      <c r="AG134" s="39">
        <f t="shared" ca="1" si="8"/>
        <v>241.1</v>
      </c>
      <c r="AH134" s="39" t="str">
        <f t="shared" ca="1" si="9"/>
        <v>20년 1개월</v>
      </c>
      <c r="AI134" s="43" t="s">
        <v>1125</v>
      </c>
      <c r="AJ134" s="33" t="s">
        <v>1126</v>
      </c>
      <c r="AK134" s="44" t="s">
        <v>1127</v>
      </c>
      <c r="AL134" s="37">
        <v>2643</v>
      </c>
      <c r="AM134" s="37" t="s">
        <v>1128</v>
      </c>
      <c r="AN134" s="54">
        <v>12.18</v>
      </c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</row>
    <row r="135" spans="1:54" ht="15" customHeight="1">
      <c r="A135" s="33" t="s">
        <v>425</v>
      </c>
      <c r="B135" s="37">
        <v>140104</v>
      </c>
      <c r="C135" s="37" t="s">
        <v>193</v>
      </c>
      <c r="D135" s="37" t="s">
        <v>1129</v>
      </c>
      <c r="E135" s="37" t="s">
        <v>51</v>
      </c>
      <c r="F135" s="38" t="s">
        <v>1130</v>
      </c>
      <c r="G135" s="34" t="s">
        <v>61</v>
      </c>
      <c r="H135" s="37" t="s">
        <v>845</v>
      </c>
      <c r="I135" s="37" t="s">
        <v>1131</v>
      </c>
      <c r="J135" s="36">
        <v>41659</v>
      </c>
      <c r="K135" s="36"/>
      <c r="L135" s="36">
        <v>42867</v>
      </c>
      <c r="M135" s="37" t="s">
        <v>153</v>
      </c>
      <c r="N135" s="37" t="s">
        <v>1132</v>
      </c>
      <c r="O135" s="37" t="s">
        <v>1133</v>
      </c>
      <c r="P135" s="37" t="s">
        <v>1134</v>
      </c>
      <c r="Q135" s="37" t="s">
        <v>209</v>
      </c>
      <c r="R135" s="36"/>
      <c r="S135" s="37" t="s">
        <v>275</v>
      </c>
      <c r="T135" s="36">
        <v>41425</v>
      </c>
      <c r="U135" s="37"/>
      <c r="V135" s="37"/>
      <c r="W135" s="37"/>
      <c r="X135" s="37"/>
      <c r="Y135" s="37" t="s">
        <v>210</v>
      </c>
      <c r="Z135" s="37"/>
      <c r="AA135" s="37"/>
      <c r="AB135" s="37"/>
      <c r="AC135" s="39">
        <v>0</v>
      </c>
      <c r="AD135" s="37" t="str">
        <f t="shared" si="6"/>
        <v>0년 0개월</v>
      </c>
      <c r="AE135" s="39">
        <f ca="1">(재직자!$AL$1-J135)/30</f>
        <v>148.5</v>
      </c>
      <c r="AF135" s="37" t="str">
        <f t="shared" ca="1" si="7"/>
        <v>12년 4개월</v>
      </c>
      <c r="AG135" s="39">
        <f t="shared" ca="1" si="8"/>
        <v>148.5</v>
      </c>
      <c r="AH135" s="37" t="str">
        <f t="shared" ca="1" si="9"/>
        <v>12년 4개월</v>
      </c>
      <c r="AI135" s="44" t="s">
        <v>1135</v>
      </c>
      <c r="AJ135" s="37" t="s">
        <v>1136</v>
      </c>
      <c r="AK135" s="50" t="s">
        <v>1137</v>
      </c>
      <c r="AL135" s="37"/>
      <c r="AM135" s="37" t="s">
        <v>1138</v>
      </c>
      <c r="AN135" s="54">
        <v>4.2300000000000004</v>
      </c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</row>
    <row r="136" spans="1:54" ht="16.5" customHeight="1">
      <c r="A136" s="33" t="s">
        <v>301</v>
      </c>
      <c r="B136" s="33" t="s">
        <v>1139</v>
      </c>
      <c r="C136" s="33" t="s">
        <v>193</v>
      </c>
      <c r="D136" s="34" t="s">
        <v>1140</v>
      </c>
      <c r="E136" s="34" t="s">
        <v>44</v>
      </c>
      <c r="F136" s="34" t="s">
        <v>1141</v>
      </c>
      <c r="G136" s="34" t="s">
        <v>880</v>
      </c>
      <c r="H136" s="37"/>
      <c r="I136" s="35" t="s">
        <v>1142</v>
      </c>
      <c r="J136" s="36">
        <v>42506</v>
      </c>
      <c r="K136" s="36"/>
      <c r="L136" s="36">
        <v>42874</v>
      </c>
      <c r="M136" s="37" t="s">
        <v>448</v>
      </c>
      <c r="N136" s="37" t="s">
        <v>1143</v>
      </c>
      <c r="O136" s="38"/>
      <c r="P136" s="38"/>
      <c r="Q136" s="37" t="s">
        <v>448</v>
      </c>
      <c r="R136" s="36"/>
      <c r="S136" s="37"/>
      <c r="T136" s="36"/>
      <c r="U136" s="37"/>
      <c r="V136" s="37"/>
      <c r="W136" s="37"/>
      <c r="X136" s="37"/>
      <c r="Y136" s="37" t="s">
        <v>210</v>
      </c>
      <c r="Z136" s="37"/>
      <c r="AA136" s="36"/>
      <c r="AB136" s="37"/>
      <c r="AC136" s="39">
        <v>75</v>
      </c>
      <c r="AD136" s="38" t="str">
        <f t="shared" si="6"/>
        <v>6년 3개월</v>
      </c>
      <c r="AE136" s="39">
        <f ca="1">(재직자!$AL$1-J136)/30</f>
        <v>120.26666666666667</v>
      </c>
      <c r="AF136" s="39" t="str">
        <f t="shared" ca="1" si="7"/>
        <v>10년 0개월</v>
      </c>
      <c r="AG136" s="39">
        <f t="shared" ca="1" si="8"/>
        <v>195.26666666666665</v>
      </c>
      <c r="AH136" s="39" t="str">
        <f t="shared" ca="1" si="9"/>
        <v>16년 3개월</v>
      </c>
      <c r="AI136" s="43" t="s">
        <v>1144</v>
      </c>
      <c r="AJ136" s="33" t="s">
        <v>1145</v>
      </c>
      <c r="AK136" s="62" t="s">
        <v>1146</v>
      </c>
      <c r="AL136" s="37"/>
      <c r="AM136" s="37" t="s">
        <v>1147</v>
      </c>
      <c r="AN136" s="54" t="s">
        <v>1148</v>
      </c>
      <c r="AO136" s="32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</row>
    <row r="137" spans="1:54" ht="16.5" customHeight="1">
      <c r="A137" s="33" t="s">
        <v>1149</v>
      </c>
      <c r="B137" s="33" t="s">
        <v>1150</v>
      </c>
      <c r="C137" s="33" t="s">
        <v>226</v>
      </c>
      <c r="D137" s="34" t="s">
        <v>1151</v>
      </c>
      <c r="E137" s="34" t="s">
        <v>51</v>
      </c>
      <c r="F137" s="34"/>
      <c r="G137" s="34" t="s">
        <v>463</v>
      </c>
      <c r="H137" s="34"/>
      <c r="I137" s="35" t="s">
        <v>1152</v>
      </c>
      <c r="J137" s="36">
        <v>42786</v>
      </c>
      <c r="K137" s="36"/>
      <c r="L137" s="36">
        <v>42874</v>
      </c>
      <c r="M137" s="37" t="s">
        <v>153</v>
      </c>
      <c r="N137" s="37" t="s">
        <v>318</v>
      </c>
      <c r="O137" s="38" t="s">
        <v>607</v>
      </c>
      <c r="P137" s="38" t="s">
        <v>711</v>
      </c>
      <c r="Q137" s="37" t="s">
        <v>209</v>
      </c>
      <c r="R137" s="36">
        <v>42601</v>
      </c>
      <c r="S137" s="37"/>
      <c r="T137" s="36"/>
      <c r="U137" s="37"/>
      <c r="V137" s="36"/>
      <c r="W137" s="37"/>
      <c r="X137" s="36"/>
      <c r="Y137" s="37"/>
      <c r="Z137" s="37"/>
      <c r="AA137" s="36"/>
      <c r="AB137" s="37"/>
      <c r="AC137" s="39"/>
      <c r="AD137" s="38" t="str">
        <f t="shared" si="6"/>
        <v>0년 0개월</v>
      </c>
      <c r="AE137" s="39">
        <f ca="1">(재직자!$AL$1-J137)/30</f>
        <v>110.93333333333334</v>
      </c>
      <c r="AF137" s="39" t="str">
        <f t="shared" ca="1" si="7"/>
        <v>9년 2개월</v>
      </c>
      <c r="AG137" s="39">
        <f t="shared" ca="1" si="8"/>
        <v>110.93333333333334</v>
      </c>
      <c r="AH137" s="39" t="str">
        <f t="shared" ca="1" si="9"/>
        <v>9년 2개월</v>
      </c>
      <c r="AI137" s="43" t="s">
        <v>1153</v>
      </c>
      <c r="AJ137" s="33" t="s">
        <v>1154</v>
      </c>
      <c r="AK137" s="62" t="s">
        <v>1155</v>
      </c>
      <c r="AL137" s="37"/>
      <c r="AM137" s="37" t="s">
        <v>1156</v>
      </c>
      <c r="AN137" s="54" t="s">
        <v>1157</v>
      </c>
      <c r="AO137" s="32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</row>
    <row r="138" spans="1:54" ht="16.5" customHeight="1">
      <c r="A138" s="33" t="s">
        <v>1158</v>
      </c>
      <c r="B138" s="33" t="s">
        <v>1159</v>
      </c>
      <c r="C138" s="33" t="s">
        <v>226</v>
      </c>
      <c r="D138" s="34" t="s">
        <v>1160</v>
      </c>
      <c r="E138" s="34" t="s">
        <v>51</v>
      </c>
      <c r="F138" s="34"/>
      <c r="G138" s="34" t="s">
        <v>463</v>
      </c>
      <c r="H138" s="34"/>
      <c r="I138" s="35" t="s">
        <v>1161</v>
      </c>
      <c r="J138" s="36">
        <v>42786</v>
      </c>
      <c r="K138" s="36"/>
      <c r="L138" s="36">
        <v>42874</v>
      </c>
      <c r="M138" s="37" t="s">
        <v>153</v>
      </c>
      <c r="N138" s="37" t="s">
        <v>483</v>
      </c>
      <c r="O138" s="38" t="s">
        <v>1162</v>
      </c>
      <c r="P138" s="38" t="s">
        <v>721</v>
      </c>
      <c r="Q138" s="37"/>
      <c r="R138" s="36"/>
      <c r="S138" s="37"/>
      <c r="T138" s="36"/>
      <c r="U138" s="37"/>
      <c r="V138" s="36"/>
      <c r="W138" s="37"/>
      <c r="X138" s="36"/>
      <c r="Y138" s="37"/>
      <c r="Z138" s="37"/>
      <c r="AA138" s="36"/>
      <c r="AB138" s="37"/>
      <c r="AC138" s="39"/>
      <c r="AD138" s="38" t="str">
        <f t="shared" si="6"/>
        <v>0년 0개월</v>
      </c>
      <c r="AE138" s="39">
        <f ca="1">(재직자!$AL$1-J138)/30</f>
        <v>110.93333333333334</v>
      </c>
      <c r="AF138" s="39" t="str">
        <f t="shared" ca="1" si="7"/>
        <v>9년 2개월</v>
      </c>
      <c r="AG138" s="39">
        <f t="shared" ca="1" si="8"/>
        <v>110.93333333333334</v>
      </c>
      <c r="AH138" s="39" t="str">
        <f t="shared" ca="1" si="9"/>
        <v>9년 2개월</v>
      </c>
      <c r="AI138" s="43" t="s">
        <v>1163</v>
      </c>
      <c r="AJ138" s="33" t="s">
        <v>1164</v>
      </c>
      <c r="AK138" s="62" t="s">
        <v>1165</v>
      </c>
      <c r="AL138" s="37"/>
      <c r="AM138" s="37" t="s">
        <v>1166</v>
      </c>
      <c r="AN138" s="54" t="s">
        <v>1167</v>
      </c>
      <c r="AO138" s="32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</row>
    <row r="139" spans="1:54" ht="16.5" customHeight="1">
      <c r="A139" s="33" t="s">
        <v>331</v>
      </c>
      <c r="B139" s="33" t="s">
        <v>1168</v>
      </c>
      <c r="C139" s="33" t="s">
        <v>924</v>
      </c>
      <c r="D139" s="34" t="s">
        <v>1169</v>
      </c>
      <c r="E139" s="34" t="s">
        <v>34</v>
      </c>
      <c r="F139" s="34" t="s">
        <v>1170</v>
      </c>
      <c r="G139" s="34" t="s">
        <v>839</v>
      </c>
      <c r="H139" s="34" t="s">
        <v>927</v>
      </c>
      <c r="I139" s="35" t="s">
        <v>1171</v>
      </c>
      <c r="J139" s="36">
        <v>42339</v>
      </c>
      <c r="K139" s="36"/>
      <c r="L139" s="36">
        <v>42886</v>
      </c>
      <c r="M139" s="37" t="s">
        <v>146</v>
      </c>
      <c r="N139" s="37" t="s">
        <v>1172</v>
      </c>
      <c r="O139" s="38" t="s">
        <v>1173</v>
      </c>
      <c r="P139" s="38"/>
      <c r="Q139" s="37" t="s">
        <v>265</v>
      </c>
      <c r="R139" s="36"/>
      <c r="S139" s="37"/>
      <c r="T139" s="37"/>
      <c r="U139" s="37"/>
      <c r="V139" s="37"/>
      <c r="W139" s="37"/>
      <c r="X139" s="37"/>
      <c r="Y139" s="37" t="s">
        <v>230</v>
      </c>
      <c r="Z139" s="37"/>
      <c r="AA139" s="36"/>
      <c r="AB139" s="37"/>
      <c r="AC139" s="39">
        <v>162</v>
      </c>
      <c r="AD139" s="38" t="str">
        <f t="shared" si="6"/>
        <v>13년 6개월</v>
      </c>
      <c r="AE139" s="39">
        <f ca="1">(재직자!$AL$1-J139)/30</f>
        <v>125.83333333333333</v>
      </c>
      <c r="AF139" s="39" t="str">
        <f t="shared" ca="1" si="7"/>
        <v>10년 5개월</v>
      </c>
      <c r="AG139" s="39">
        <f t="shared" ca="1" si="8"/>
        <v>287.83333333333331</v>
      </c>
      <c r="AH139" s="39" t="str">
        <f t="shared" ca="1" si="9"/>
        <v>23년 11개월</v>
      </c>
      <c r="AI139" s="43" t="s">
        <v>1174</v>
      </c>
      <c r="AJ139" s="33" t="s">
        <v>1175</v>
      </c>
      <c r="AK139" s="50" t="s">
        <v>1176</v>
      </c>
      <c r="AL139" s="37"/>
      <c r="AM139" s="37" t="s">
        <v>1177</v>
      </c>
      <c r="AN139" s="54" t="s">
        <v>978</v>
      </c>
      <c r="AO139" s="32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</row>
    <row r="140" spans="1:54" ht="16.5" customHeight="1">
      <c r="A140" s="33" t="s">
        <v>899</v>
      </c>
      <c r="B140" s="33" t="s">
        <v>1178</v>
      </c>
      <c r="C140" s="33" t="s">
        <v>193</v>
      </c>
      <c r="D140" s="34" t="s">
        <v>1179</v>
      </c>
      <c r="E140" s="34" t="s">
        <v>51</v>
      </c>
      <c r="F140" s="34" t="s">
        <v>1180</v>
      </c>
      <c r="G140" s="34" t="s">
        <v>880</v>
      </c>
      <c r="H140" s="37"/>
      <c r="I140" s="35" t="s">
        <v>1181</v>
      </c>
      <c r="J140" s="36">
        <v>42430</v>
      </c>
      <c r="K140" s="36"/>
      <c r="L140" s="36">
        <v>42886</v>
      </c>
      <c r="M140" s="37" t="s">
        <v>153</v>
      </c>
      <c r="N140" s="37" t="s">
        <v>1182</v>
      </c>
      <c r="O140" s="38" t="s">
        <v>1183</v>
      </c>
      <c r="P140" s="38" t="s">
        <v>711</v>
      </c>
      <c r="Q140" s="37" t="s">
        <v>209</v>
      </c>
      <c r="R140" s="36"/>
      <c r="S140" s="37" t="s">
        <v>275</v>
      </c>
      <c r="T140" s="36">
        <v>42300</v>
      </c>
      <c r="U140" s="37" t="s">
        <v>576</v>
      </c>
      <c r="V140" s="36">
        <v>41116</v>
      </c>
      <c r="W140" s="37"/>
      <c r="X140" s="37"/>
      <c r="Y140" s="37" t="s">
        <v>210</v>
      </c>
      <c r="Z140" s="37"/>
      <c r="AA140" s="36"/>
      <c r="AB140" s="37"/>
      <c r="AC140" s="39"/>
      <c r="AD140" s="38" t="str">
        <f t="shared" si="6"/>
        <v>0년 0개월</v>
      </c>
      <c r="AE140" s="39">
        <f ca="1">(재직자!$AL$1-J140)/30</f>
        <v>122.8</v>
      </c>
      <c r="AF140" s="39" t="str">
        <f t="shared" ca="1" si="7"/>
        <v>10년 2개월</v>
      </c>
      <c r="AG140" s="39">
        <f t="shared" ca="1" si="8"/>
        <v>122.8</v>
      </c>
      <c r="AH140" s="39" t="str">
        <f t="shared" ca="1" si="9"/>
        <v>10년 2개월</v>
      </c>
      <c r="AI140" s="43" t="s">
        <v>1184</v>
      </c>
      <c r="AJ140" s="33" t="s">
        <v>1185</v>
      </c>
      <c r="AK140" s="62" t="s">
        <v>1186</v>
      </c>
      <c r="AL140" s="37"/>
      <c r="AM140" s="37" t="s">
        <v>1187</v>
      </c>
      <c r="AN140" s="54" t="s">
        <v>1188</v>
      </c>
      <c r="AO140" s="32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</row>
    <row r="141" spans="1:54" ht="16.5" customHeight="1">
      <c r="A141" s="33" t="s">
        <v>728</v>
      </c>
      <c r="B141" s="33" t="s">
        <v>1189</v>
      </c>
      <c r="C141" s="33" t="s">
        <v>924</v>
      </c>
      <c r="D141" s="34" t="s">
        <v>1190</v>
      </c>
      <c r="E141" s="34" t="s">
        <v>44</v>
      </c>
      <c r="F141" s="34" t="s">
        <v>1191</v>
      </c>
      <c r="G141" s="34" t="s">
        <v>839</v>
      </c>
      <c r="H141" s="34" t="s">
        <v>927</v>
      </c>
      <c r="I141" s="35" t="s">
        <v>1192</v>
      </c>
      <c r="J141" s="36">
        <v>42667</v>
      </c>
      <c r="K141" s="36"/>
      <c r="L141" s="36">
        <v>42902</v>
      </c>
      <c r="M141" s="37" t="s">
        <v>153</v>
      </c>
      <c r="N141" s="37" t="s">
        <v>1193</v>
      </c>
      <c r="O141" s="38" t="s">
        <v>1194</v>
      </c>
      <c r="P141" s="38" t="s">
        <v>711</v>
      </c>
      <c r="Q141" s="37" t="s">
        <v>209</v>
      </c>
      <c r="R141" s="36"/>
      <c r="S141" s="37"/>
      <c r="T141" s="36"/>
      <c r="U141" s="37" t="s">
        <v>764</v>
      </c>
      <c r="V141" s="36" t="s">
        <v>1195</v>
      </c>
      <c r="W141" s="37"/>
      <c r="X141" s="36"/>
      <c r="Y141" s="37" t="s">
        <v>210</v>
      </c>
      <c r="Z141" s="37"/>
      <c r="AA141" s="36"/>
      <c r="AB141" s="37"/>
      <c r="AC141" s="39">
        <v>57</v>
      </c>
      <c r="AD141" s="38" t="str">
        <f t="shared" si="6"/>
        <v>4년 9개월</v>
      </c>
      <c r="AE141" s="39">
        <f ca="1">(재직자!$AL$1-J141)/30</f>
        <v>114.9</v>
      </c>
      <c r="AF141" s="39" t="str">
        <f t="shared" ca="1" si="7"/>
        <v>9년 6개월</v>
      </c>
      <c r="AG141" s="39">
        <f t="shared" ca="1" si="8"/>
        <v>171.9</v>
      </c>
      <c r="AH141" s="39" t="str">
        <f t="shared" ca="1" si="9"/>
        <v>14년 3개월</v>
      </c>
      <c r="AI141" s="43" t="s">
        <v>1196</v>
      </c>
      <c r="AJ141" s="33" t="s">
        <v>1197</v>
      </c>
      <c r="AK141" s="64" t="s">
        <v>1198</v>
      </c>
      <c r="AL141" s="37"/>
      <c r="AM141" s="37" t="s">
        <v>1199</v>
      </c>
      <c r="AN141" s="54" t="s">
        <v>1200</v>
      </c>
      <c r="AO141" s="32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</row>
    <row r="142" spans="1:54" ht="15" customHeight="1">
      <c r="A142" s="33" t="s">
        <v>479</v>
      </c>
      <c r="B142" s="59">
        <v>130206</v>
      </c>
      <c r="C142" s="37" t="s">
        <v>193</v>
      </c>
      <c r="D142" s="37" t="s">
        <v>1201</v>
      </c>
      <c r="E142" s="37" t="s">
        <v>51</v>
      </c>
      <c r="F142" s="38" t="s">
        <v>1202</v>
      </c>
      <c r="G142" s="37" t="s">
        <v>856</v>
      </c>
      <c r="H142" s="34" t="s">
        <v>857</v>
      </c>
      <c r="I142" s="37" t="s">
        <v>1203</v>
      </c>
      <c r="J142" s="36">
        <v>41330</v>
      </c>
      <c r="K142" s="36"/>
      <c r="L142" s="36">
        <v>42909</v>
      </c>
      <c r="M142" s="37" t="s">
        <v>153</v>
      </c>
      <c r="N142" s="37" t="s">
        <v>1204</v>
      </c>
      <c r="O142" s="37" t="s">
        <v>297</v>
      </c>
      <c r="P142" s="37"/>
      <c r="Q142" s="37" t="s">
        <v>209</v>
      </c>
      <c r="R142" s="36"/>
      <c r="S142" s="37" t="s">
        <v>275</v>
      </c>
      <c r="T142" s="36">
        <v>41236</v>
      </c>
      <c r="U142" s="37"/>
      <c r="V142" s="36"/>
      <c r="W142" s="37"/>
      <c r="X142" s="37"/>
      <c r="Y142" s="37" t="s">
        <v>276</v>
      </c>
      <c r="Z142" s="37"/>
      <c r="AA142" s="37"/>
      <c r="AB142" s="37"/>
      <c r="AC142" s="39">
        <v>0</v>
      </c>
      <c r="AD142" s="37" t="str">
        <f t="shared" si="6"/>
        <v>0년 0개월</v>
      </c>
      <c r="AE142" s="39">
        <f ca="1">(재직자!$AL$1-J142)/30</f>
        <v>159.46666666666667</v>
      </c>
      <c r="AF142" s="37" t="str">
        <f t="shared" ca="1" si="7"/>
        <v>13년 3개월</v>
      </c>
      <c r="AG142" s="39">
        <f t="shared" ca="1" si="8"/>
        <v>159.46666666666667</v>
      </c>
      <c r="AH142" s="37" t="str">
        <f t="shared" ca="1" si="9"/>
        <v>13년 3개월</v>
      </c>
      <c r="AI142" s="44" t="s">
        <v>1205</v>
      </c>
      <c r="AJ142" s="37" t="s">
        <v>1206</v>
      </c>
      <c r="AK142" s="50" t="s">
        <v>1207</v>
      </c>
      <c r="AL142" s="37"/>
      <c r="AM142" s="37" t="s">
        <v>1208</v>
      </c>
      <c r="AN142" s="54">
        <v>1.1499999999999999</v>
      </c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</row>
    <row r="143" spans="1:54" ht="15" customHeight="1">
      <c r="A143" s="33" t="s">
        <v>132</v>
      </c>
      <c r="B143" s="33" t="s">
        <v>1209</v>
      </c>
      <c r="C143" s="33" t="s">
        <v>193</v>
      </c>
      <c r="D143" s="34" t="s">
        <v>1210</v>
      </c>
      <c r="E143" s="34" t="s">
        <v>44</v>
      </c>
      <c r="F143" s="38" t="s">
        <v>1211</v>
      </c>
      <c r="G143" s="34" t="s">
        <v>880</v>
      </c>
      <c r="H143" s="37" t="s">
        <v>891</v>
      </c>
      <c r="I143" s="35" t="s">
        <v>1212</v>
      </c>
      <c r="J143" s="36">
        <v>40604</v>
      </c>
      <c r="K143" s="36">
        <v>41821</v>
      </c>
      <c r="L143" s="36">
        <v>42916</v>
      </c>
      <c r="M143" s="37" t="s">
        <v>153</v>
      </c>
      <c r="N143" s="37" t="s">
        <v>1213</v>
      </c>
      <c r="O143" s="38" t="s">
        <v>404</v>
      </c>
      <c r="P143" s="38"/>
      <c r="Q143" s="37" t="s">
        <v>209</v>
      </c>
      <c r="R143" s="36">
        <v>40592</v>
      </c>
      <c r="S143" s="37" t="s">
        <v>275</v>
      </c>
      <c r="T143" s="36">
        <v>41138</v>
      </c>
      <c r="U143" s="37" t="s">
        <v>1214</v>
      </c>
      <c r="V143" s="36">
        <v>40575</v>
      </c>
      <c r="W143" s="37"/>
      <c r="X143" s="37"/>
      <c r="Y143" s="37" t="s">
        <v>276</v>
      </c>
      <c r="Z143" s="37"/>
      <c r="AA143" s="36" t="e">
        <f>+VLOOKUP($D143,[1]Sheet1!$A$1:$C$42,3,0)</f>
        <v>#N/A</v>
      </c>
      <c r="AB143" s="37" t="s">
        <v>276</v>
      </c>
      <c r="AC143" s="39">
        <v>0</v>
      </c>
      <c r="AD143" s="38" t="str">
        <f t="shared" si="6"/>
        <v>0년 0개월</v>
      </c>
      <c r="AE143" s="39">
        <f ca="1">(재직자!$AL$1-J143)/30</f>
        <v>183.66666666666666</v>
      </c>
      <c r="AF143" s="39" t="str">
        <f t="shared" ca="1" si="7"/>
        <v>15년 3개월</v>
      </c>
      <c r="AG143" s="39">
        <f t="shared" ca="1" si="8"/>
        <v>183.66666666666666</v>
      </c>
      <c r="AH143" s="39" t="str">
        <f t="shared" ca="1" si="9"/>
        <v>15년 3개월</v>
      </c>
      <c r="AI143" s="43" t="s">
        <v>1215</v>
      </c>
      <c r="AJ143" s="33" t="s">
        <v>1216</v>
      </c>
      <c r="AK143" s="50" t="s">
        <v>1217</v>
      </c>
      <c r="AL143" s="37"/>
      <c r="AM143" s="37" t="s">
        <v>1218</v>
      </c>
      <c r="AN143" s="54">
        <v>1.02</v>
      </c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</row>
    <row r="144" spans="1:54" ht="15" customHeight="1">
      <c r="A144" s="33" t="s">
        <v>425</v>
      </c>
      <c r="B144" s="37">
        <v>140704</v>
      </c>
      <c r="C144" s="33" t="s">
        <v>924</v>
      </c>
      <c r="D144" s="37" t="s">
        <v>1219</v>
      </c>
      <c r="E144" s="37" t="s">
        <v>51</v>
      </c>
      <c r="F144" s="38" t="s">
        <v>1220</v>
      </c>
      <c r="G144" s="34" t="s">
        <v>61</v>
      </c>
      <c r="H144" s="34" t="s">
        <v>1221</v>
      </c>
      <c r="I144" s="37" t="s">
        <v>1222</v>
      </c>
      <c r="J144" s="36">
        <v>41828</v>
      </c>
      <c r="K144" s="36"/>
      <c r="L144" s="36">
        <v>42930</v>
      </c>
      <c r="M144" s="37" t="s">
        <v>448</v>
      </c>
      <c r="N144" s="37" t="s">
        <v>1223</v>
      </c>
      <c r="O144" s="37"/>
      <c r="P144" s="37"/>
      <c r="Q144" s="37" t="s">
        <v>448</v>
      </c>
      <c r="R144" s="37"/>
      <c r="S144" s="37"/>
      <c r="T144" s="37"/>
      <c r="U144" s="37"/>
      <c r="V144" s="37"/>
      <c r="W144" s="37"/>
      <c r="X144" s="37"/>
      <c r="Y144" s="37" t="s">
        <v>210</v>
      </c>
      <c r="Z144" s="37"/>
      <c r="AA144" s="37"/>
      <c r="AB144" s="37"/>
      <c r="AC144" s="39">
        <v>12</v>
      </c>
      <c r="AD144" s="37" t="str">
        <f t="shared" si="6"/>
        <v>1년 0개월</v>
      </c>
      <c r="AE144" s="39">
        <f>(L144-J144)/30</f>
        <v>36.733333333333334</v>
      </c>
      <c r="AF144" s="37" t="str">
        <f t="shared" si="7"/>
        <v>3년 0개월</v>
      </c>
      <c r="AG144" s="39">
        <f t="shared" si="8"/>
        <v>48.733333333333334</v>
      </c>
      <c r="AH144" s="37" t="str">
        <f t="shared" si="9"/>
        <v>4년 0개월</v>
      </c>
      <c r="AI144" s="58" t="s">
        <v>1224</v>
      </c>
      <c r="AJ144" s="37" t="s">
        <v>1225</v>
      </c>
      <c r="AK144" s="50" t="s">
        <v>1226</v>
      </c>
      <c r="AL144" s="37"/>
      <c r="AM144" s="37" t="s">
        <v>1227</v>
      </c>
      <c r="AN144" s="54" t="s">
        <v>1228</v>
      </c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</row>
    <row r="145" spans="1:54" ht="16.5" customHeight="1">
      <c r="A145" s="33" t="s">
        <v>280</v>
      </c>
      <c r="B145" s="33" t="s">
        <v>1229</v>
      </c>
      <c r="C145" s="33" t="s">
        <v>193</v>
      </c>
      <c r="D145" s="34" t="s">
        <v>1230</v>
      </c>
      <c r="E145" s="34" t="s">
        <v>88</v>
      </c>
      <c r="F145" s="34" t="s">
        <v>1231</v>
      </c>
      <c r="G145" s="34" t="s">
        <v>61</v>
      </c>
      <c r="H145" s="34" t="s">
        <v>1232</v>
      </c>
      <c r="I145" s="35" t="s">
        <v>1233</v>
      </c>
      <c r="J145" s="36">
        <v>42598</v>
      </c>
      <c r="K145" s="36"/>
      <c r="L145" s="36">
        <v>42937</v>
      </c>
      <c r="M145" s="37" t="s">
        <v>153</v>
      </c>
      <c r="N145" s="37" t="s">
        <v>1234</v>
      </c>
      <c r="O145" s="38" t="s">
        <v>1235</v>
      </c>
      <c r="P145" s="38" t="s">
        <v>1236</v>
      </c>
      <c r="Q145" s="37" t="s">
        <v>209</v>
      </c>
      <c r="R145" s="36">
        <v>38037</v>
      </c>
      <c r="S145" s="37" t="s">
        <v>275</v>
      </c>
      <c r="T145" s="36">
        <v>39237</v>
      </c>
      <c r="U145" s="37"/>
      <c r="V145" s="36"/>
      <c r="W145" s="37"/>
      <c r="X145" s="36"/>
      <c r="Y145" s="37" t="s">
        <v>230</v>
      </c>
      <c r="Z145" s="37"/>
      <c r="AA145" s="36"/>
      <c r="AB145" s="37"/>
      <c r="AC145" s="39">
        <v>149</v>
      </c>
      <c r="AD145" s="38" t="str">
        <f t="shared" si="6"/>
        <v>12년 5개월</v>
      </c>
      <c r="AE145" s="39">
        <f ca="1">(재직자!$AL$1-J145)/30</f>
        <v>117.2</v>
      </c>
      <c r="AF145" s="39" t="str">
        <f t="shared" ca="1" si="7"/>
        <v>9년 9개월</v>
      </c>
      <c r="AG145" s="39">
        <f t="shared" ca="1" si="8"/>
        <v>266.2</v>
      </c>
      <c r="AH145" s="39" t="str">
        <f t="shared" ca="1" si="9"/>
        <v>22년 2개월</v>
      </c>
      <c r="AI145" s="43" t="s">
        <v>1237</v>
      </c>
      <c r="AJ145" s="33" t="s">
        <v>1238</v>
      </c>
      <c r="AK145" s="62" t="s">
        <v>1239</v>
      </c>
      <c r="AL145" s="37"/>
      <c r="AM145" s="37" t="s">
        <v>1240</v>
      </c>
      <c r="AN145" s="54" t="s">
        <v>1241</v>
      </c>
      <c r="AO145" s="32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</row>
    <row r="146" spans="1:54" ht="16.5" customHeight="1">
      <c r="A146" s="33" t="s">
        <v>1242</v>
      </c>
      <c r="B146" s="33" t="s">
        <v>1243</v>
      </c>
      <c r="C146" s="33" t="s">
        <v>193</v>
      </c>
      <c r="D146" s="34" t="s">
        <v>1244</v>
      </c>
      <c r="E146" s="34" t="s">
        <v>51</v>
      </c>
      <c r="F146" s="34" t="s">
        <v>1245</v>
      </c>
      <c r="G146" s="37" t="s">
        <v>856</v>
      </c>
      <c r="H146" s="37"/>
      <c r="I146" s="35" t="s">
        <v>1246</v>
      </c>
      <c r="J146" s="36">
        <v>42430</v>
      </c>
      <c r="K146" s="36"/>
      <c r="L146" s="36">
        <v>42947</v>
      </c>
      <c r="M146" s="37" t="s">
        <v>153</v>
      </c>
      <c r="N146" s="37" t="s">
        <v>1247</v>
      </c>
      <c r="O146" s="38" t="s">
        <v>1248</v>
      </c>
      <c r="P146" s="38" t="s">
        <v>711</v>
      </c>
      <c r="Q146" s="37" t="s">
        <v>209</v>
      </c>
      <c r="R146" s="36">
        <v>42423</v>
      </c>
      <c r="S146" s="37" t="s">
        <v>275</v>
      </c>
      <c r="T146" s="36">
        <v>42132</v>
      </c>
      <c r="U146" s="37" t="s">
        <v>1249</v>
      </c>
      <c r="V146" s="36">
        <v>42282</v>
      </c>
      <c r="W146" s="37" t="s">
        <v>1250</v>
      </c>
      <c r="X146" s="36">
        <v>42167</v>
      </c>
      <c r="Y146" s="37" t="s">
        <v>210</v>
      </c>
      <c r="Z146" s="37"/>
      <c r="AA146" s="36"/>
      <c r="AB146" s="37"/>
      <c r="AC146" s="39"/>
      <c r="AD146" s="38" t="str">
        <f t="shared" si="6"/>
        <v>0년 0개월</v>
      </c>
      <c r="AE146" s="39">
        <f ca="1">(재직자!$AL$1-J146)/30</f>
        <v>122.8</v>
      </c>
      <c r="AF146" s="39" t="str">
        <f t="shared" ca="1" si="7"/>
        <v>10년 2개월</v>
      </c>
      <c r="AG146" s="39">
        <f t="shared" ca="1" si="8"/>
        <v>122.8</v>
      </c>
      <c r="AH146" s="39" t="str">
        <f t="shared" ca="1" si="9"/>
        <v>10년 2개월</v>
      </c>
      <c r="AI146" s="43" t="s">
        <v>1251</v>
      </c>
      <c r="AJ146" s="33" t="s">
        <v>1252</v>
      </c>
      <c r="AK146" s="62" t="s">
        <v>1253</v>
      </c>
      <c r="AL146" s="37"/>
      <c r="AM146" s="37" t="s">
        <v>1254</v>
      </c>
      <c r="AN146" s="54" t="s">
        <v>1255</v>
      </c>
      <c r="AO146" s="32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</row>
    <row r="147" spans="1:54" ht="15" customHeight="1">
      <c r="A147" s="33" t="s">
        <v>434</v>
      </c>
      <c r="B147" s="33" t="s">
        <v>1256</v>
      </c>
      <c r="C147" s="33" t="s">
        <v>193</v>
      </c>
      <c r="D147" s="34" t="s">
        <v>1257</v>
      </c>
      <c r="E147" s="34" t="s">
        <v>228</v>
      </c>
      <c r="F147" s="34" t="s">
        <v>1258</v>
      </c>
      <c r="G147" s="34" t="s">
        <v>880</v>
      </c>
      <c r="H147" s="34"/>
      <c r="I147" s="35" t="s">
        <v>1259</v>
      </c>
      <c r="J147" s="36">
        <v>42191</v>
      </c>
      <c r="K147" s="36"/>
      <c r="L147" s="36">
        <v>42958</v>
      </c>
      <c r="M147" s="37" t="s">
        <v>153</v>
      </c>
      <c r="N147" s="37" t="s">
        <v>1260</v>
      </c>
      <c r="O147" s="38" t="s">
        <v>1261</v>
      </c>
      <c r="P147" s="38"/>
      <c r="Q147" s="37" t="s">
        <v>209</v>
      </c>
      <c r="R147" s="36"/>
      <c r="S147" s="37"/>
      <c r="T147" s="37"/>
      <c r="U147" s="37"/>
      <c r="V147" s="37"/>
      <c r="W147" s="37"/>
      <c r="X147" s="37"/>
      <c r="Y147" s="37" t="s">
        <v>199</v>
      </c>
      <c r="Z147" s="37"/>
      <c r="AA147" s="36"/>
      <c r="AB147" s="37"/>
      <c r="AC147" s="39">
        <v>162</v>
      </c>
      <c r="AD147" s="38" t="str">
        <f t="shared" si="6"/>
        <v>13년 6개월</v>
      </c>
      <c r="AE147" s="39">
        <f ca="1">(재직자!$AL$1-J147)/30</f>
        <v>130.76666666666668</v>
      </c>
      <c r="AF147" s="39" t="str">
        <f t="shared" ca="1" si="7"/>
        <v>10년 10개월</v>
      </c>
      <c r="AG147" s="39">
        <f t="shared" ca="1" si="8"/>
        <v>292.76666666666665</v>
      </c>
      <c r="AH147" s="39" t="str">
        <f t="shared" ca="1" si="9"/>
        <v>24년 4개월</v>
      </c>
      <c r="AI147" s="43" t="s">
        <v>1262</v>
      </c>
      <c r="AJ147" s="33" t="s">
        <v>1263</v>
      </c>
      <c r="AK147" s="50" t="s">
        <v>1264</v>
      </c>
      <c r="AL147" s="37"/>
      <c r="AM147" s="37" t="s">
        <v>1265</v>
      </c>
      <c r="AN147" s="54" t="s">
        <v>1266</v>
      </c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</row>
    <row r="148" spans="1:54" ht="15" customHeight="1">
      <c r="A148" s="33" t="s">
        <v>1267</v>
      </c>
      <c r="B148" s="59">
        <v>130208</v>
      </c>
      <c r="C148" s="37" t="s">
        <v>193</v>
      </c>
      <c r="D148" s="37" t="s">
        <v>1268</v>
      </c>
      <c r="E148" s="37" t="s">
        <v>44</v>
      </c>
      <c r="F148" s="38" t="s">
        <v>1269</v>
      </c>
      <c r="G148" s="37" t="s">
        <v>880</v>
      </c>
      <c r="H148" s="37"/>
      <c r="I148" s="37" t="s">
        <v>1270</v>
      </c>
      <c r="J148" s="36">
        <v>41330</v>
      </c>
      <c r="K148" s="36"/>
      <c r="L148" s="36">
        <v>43008</v>
      </c>
      <c r="M148" s="37" t="s">
        <v>153</v>
      </c>
      <c r="N148" s="37" t="s">
        <v>973</v>
      </c>
      <c r="O148" s="37" t="s">
        <v>1271</v>
      </c>
      <c r="P148" s="37"/>
      <c r="Q148" s="37" t="s">
        <v>209</v>
      </c>
      <c r="R148" s="36"/>
      <c r="S148" s="37"/>
      <c r="T148" s="37"/>
      <c r="U148" s="37"/>
      <c r="V148" s="37"/>
      <c r="W148" s="37"/>
      <c r="X148" s="37"/>
      <c r="Y148" s="37" t="s">
        <v>210</v>
      </c>
      <c r="Z148" s="37"/>
      <c r="AA148" s="37"/>
      <c r="AB148" s="37"/>
      <c r="AC148" s="39">
        <v>0</v>
      </c>
      <c r="AD148" s="37" t="str">
        <f t="shared" si="6"/>
        <v>0년 0개월</v>
      </c>
      <c r="AE148" s="39">
        <f ca="1">(재직자!$AL$1-J148)/30</f>
        <v>159.46666666666667</v>
      </c>
      <c r="AF148" s="37" t="str">
        <f t="shared" ca="1" si="7"/>
        <v>13년 3개월</v>
      </c>
      <c r="AG148" s="39">
        <f t="shared" ca="1" si="8"/>
        <v>159.46666666666667</v>
      </c>
      <c r="AH148" s="37" t="str">
        <f t="shared" ca="1" si="9"/>
        <v>13년 3개월</v>
      </c>
      <c r="AI148" s="44" t="s">
        <v>1272</v>
      </c>
      <c r="AJ148" s="37" t="s">
        <v>1273</v>
      </c>
      <c r="AK148" s="50" t="s">
        <v>1274</v>
      </c>
      <c r="AL148" s="37"/>
      <c r="AM148" s="37" t="s">
        <v>1275</v>
      </c>
      <c r="AN148" s="54">
        <v>4.21</v>
      </c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</row>
    <row r="149" spans="1:54" ht="15" customHeight="1">
      <c r="A149" s="33" t="s">
        <v>155</v>
      </c>
      <c r="B149" s="33" t="s">
        <v>1276</v>
      </c>
      <c r="C149" s="33" t="s">
        <v>193</v>
      </c>
      <c r="D149" s="34" t="s">
        <v>1277</v>
      </c>
      <c r="E149" s="34" t="s">
        <v>44</v>
      </c>
      <c r="F149" s="38" t="s">
        <v>1278</v>
      </c>
      <c r="G149" s="34" t="s">
        <v>61</v>
      </c>
      <c r="H149" s="34" t="s">
        <v>1279</v>
      </c>
      <c r="I149" s="35" t="s">
        <v>1280</v>
      </c>
      <c r="J149" s="36">
        <v>40910</v>
      </c>
      <c r="K149" s="36">
        <v>42005</v>
      </c>
      <c r="L149" s="36">
        <v>43021</v>
      </c>
      <c r="M149" s="37" t="s">
        <v>153</v>
      </c>
      <c r="N149" s="37" t="s">
        <v>355</v>
      </c>
      <c r="O149" s="38" t="s">
        <v>1281</v>
      </c>
      <c r="P149" s="38"/>
      <c r="Q149" s="37" t="s">
        <v>209</v>
      </c>
      <c r="R149" s="36">
        <v>41689</v>
      </c>
      <c r="S149" s="37" t="s">
        <v>275</v>
      </c>
      <c r="T149" s="36">
        <v>41236</v>
      </c>
      <c r="U149" s="37"/>
      <c r="V149" s="36"/>
      <c r="W149" s="37"/>
      <c r="X149" s="37"/>
      <c r="Y149" s="37" t="s">
        <v>276</v>
      </c>
      <c r="Z149" s="37" t="s">
        <v>211</v>
      </c>
      <c r="AA149" s="36"/>
      <c r="AB149" s="37" t="s">
        <v>210</v>
      </c>
      <c r="AC149" s="39">
        <v>0</v>
      </c>
      <c r="AD149" s="37" t="str">
        <f t="shared" si="6"/>
        <v>0년 0개월</v>
      </c>
      <c r="AE149" s="39">
        <f ca="1">(재직자!$AL$1-J149)/30</f>
        <v>173.46666666666667</v>
      </c>
      <c r="AF149" s="39" t="str">
        <f t="shared" ca="1" si="7"/>
        <v>14년 5개월</v>
      </c>
      <c r="AG149" s="39">
        <f t="shared" ca="1" si="8"/>
        <v>173.46666666666667</v>
      </c>
      <c r="AH149" s="39" t="str">
        <f t="shared" ca="1" si="9"/>
        <v>14년 5개월</v>
      </c>
      <c r="AI149" s="43" t="s">
        <v>1282</v>
      </c>
      <c r="AJ149" s="33" t="s">
        <v>1283</v>
      </c>
      <c r="AK149" s="50" t="s">
        <v>1284</v>
      </c>
      <c r="AL149" s="37"/>
      <c r="AM149" s="37" t="s">
        <v>1285</v>
      </c>
      <c r="AN149" s="54">
        <v>6.29</v>
      </c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</row>
    <row r="150" spans="1:54" ht="16.5" customHeight="1">
      <c r="A150" s="33" t="s">
        <v>652</v>
      </c>
      <c r="B150" s="33" t="s">
        <v>1286</v>
      </c>
      <c r="C150" s="33" t="s">
        <v>193</v>
      </c>
      <c r="D150" s="34" t="s">
        <v>1287</v>
      </c>
      <c r="E150" s="34" t="s">
        <v>51</v>
      </c>
      <c r="F150" s="34" t="s">
        <v>1288</v>
      </c>
      <c r="G150" s="34" t="s">
        <v>880</v>
      </c>
      <c r="H150" s="37"/>
      <c r="I150" s="35" t="s">
        <v>1289</v>
      </c>
      <c r="J150" s="36">
        <v>42513</v>
      </c>
      <c r="K150" s="36"/>
      <c r="L150" s="36">
        <v>43049</v>
      </c>
      <c r="M150" s="37" t="s">
        <v>448</v>
      </c>
      <c r="N150" s="37" t="s">
        <v>1290</v>
      </c>
      <c r="O150" s="38"/>
      <c r="P150" s="38"/>
      <c r="Q150" s="37" t="s">
        <v>448</v>
      </c>
      <c r="R150" s="36"/>
      <c r="S150" s="37"/>
      <c r="T150" s="36"/>
      <c r="U150" s="37"/>
      <c r="V150" s="37"/>
      <c r="W150" s="37"/>
      <c r="X150" s="37"/>
      <c r="Y150" s="37" t="s">
        <v>210</v>
      </c>
      <c r="Z150" s="37"/>
      <c r="AA150" s="36"/>
      <c r="AB150" s="37"/>
      <c r="AC150" s="39">
        <v>38</v>
      </c>
      <c r="AD150" s="38" t="str">
        <f t="shared" si="6"/>
        <v>3년 2개월</v>
      </c>
      <c r="AE150" s="39">
        <f ca="1">(재직자!$AL$1-J150)/30</f>
        <v>120.03333333333333</v>
      </c>
      <c r="AF150" s="39" t="str">
        <f t="shared" ca="1" si="7"/>
        <v>10년 0개월</v>
      </c>
      <c r="AG150" s="39">
        <f t="shared" ca="1" si="8"/>
        <v>158.03333333333333</v>
      </c>
      <c r="AH150" s="39" t="str">
        <f t="shared" ca="1" si="9"/>
        <v>13년 2개월</v>
      </c>
      <c r="AI150" s="43" t="s">
        <v>1291</v>
      </c>
      <c r="AJ150" s="33" t="s">
        <v>1292</v>
      </c>
      <c r="AK150" s="62" t="s">
        <v>1293</v>
      </c>
      <c r="AL150" s="37"/>
      <c r="AM150" s="37" t="s">
        <v>1294</v>
      </c>
      <c r="AN150" s="54" t="s">
        <v>1295</v>
      </c>
      <c r="AO150" s="32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</row>
    <row r="151" spans="1:54" ht="15" customHeight="1">
      <c r="A151" s="33" t="s">
        <v>187</v>
      </c>
      <c r="B151" s="37">
        <v>130202</v>
      </c>
      <c r="C151" s="37" t="s">
        <v>193</v>
      </c>
      <c r="D151" s="37" t="s">
        <v>1296</v>
      </c>
      <c r="E151" s="37" t="s">
        <v>88</v>
      </c>
      <c r="F151" s="38" t="s">
        <v>1297</v>
      </c>
      <c r="G151" s="34" t="s">
        <v>880</v>
      </c>
      <c r="H151" s="37"/>
      <c r="I151" s="37" t="s">
        <v>1298</v>
      </c>
      <c r="J151" s="36">
        <v>41309</v>
      </c>
      <c r="K151" s="36">
        <v>42005</v>
      </c>
      <c r="L151" s="36">
        <v>43069</v>
      </c>
      <c r="M151" s="37" t="s">
        <v>146</v>
      </c>
      <c r="N151" s="37" t="s">
        <v>1299</v>
      </c>
      <c r="O151" s="37" t="s">
        <v>1300</v>
      </c>
      <c r="P151" s="37"/>
      <c r="Q151" s="37" t="s">
        <v>265</v>
      </c>
      <c r="R151" s="36">
        <v>38398</v>
      </c>
      <c r="S151" s="37" t="s">
        <v>405</v>
      </c>
      <c r="T151" s="36">
        <v>38352</v>
      </c>
      <c r="U151" s="37" t="s">
        <v>526</v>
      </c>
      <c r="V151" s="36">
        <v>38828</v>
      </c>
      <c r="W151" s="37"/>
      <c r="X151" s="37"/>
      <c r="Y151" s="37" t="s">
        <v>276</v>
      </c>
      <c r="Z151" s="37"/>
      <c r="AA151" s="37"/>
      <c r="AB151" s="37"/>
      <c r="AC151" s="39">
        <v>75.5</v>
      </c>
      <c r="AD151" s="37" t="str">
        <f t="shared" si="6"/>
        <v>6년 3개월</v>
      </c>
      <c r="AE151" s="39">
        <f ca="1">(재직자!$AL$1-J151)/30</f>
        <v>160.16666666666666</v>
      </c>
      <c r="AF151" s="37" t="str">
        <f t="shared" ca="1" si="7"/>
        <v>13년 4개월</v>
      </c>
      <c r="AG151" s="39">
        <f t="shared" ca="1" si="8"/>
        <v>235.66666666666666</v>
      </c>
      <c r="AH151" s="37" t="str">
        <f t="shared" ca="1" si="9"/>
        <v>19년 7개월</v>
      </c>
      <c r="AI151" s="44" t="s">
        <v>1301</v>
      </c>
      <c r="AJ151" s="37" t="s">
        <v>1302</v>
      </c>
      <c r="AK151" s="50" t="s">
        <v>1303</v>
      </c>
      <c r="AL151" s="37">
        <v>2634</v>
      </c>
      <c r="AM151" s="37" t="s">
        <v>1304</v>
      </c>
      <c r="AN151" s="54" t="s">
        <v>1305</v>
      </c>
      <c r="AO151" s="9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</row>
    <row r="152" spans="1:54" ht="16.5" customHeight="1">
      <c r="A152" s="33" t="s">
        <v>987</v>
      </c>
      <c r="B152" s="33" t="s">
        <v>1306</v>
      </c>
      <c r="C152" s="33" t="s">
        <v>226</v>
      </c>
      <c r="D152" s="34" t="s">
        <v>1307</v>
      </c>
      <c r="E152" s="34" t="s">
        <v>34</v>
      </c>
      <c r="F152" s="34"/>
      <c r="G152" s="34" t="s">
        <v>463</v>
      </c>
      <c r="H152" s="34"/>
      <c r="I152" s="35" t="s">
        <v>1308</v>
      </c>
      <c r="J152" s="36">
        <v>43018</v>
      </c>
      <c r="K152" s="36"/>
      <c r="L152" s="36">
        <v>43069</v>
      </c>
      <c r="M152" s="37" t="s">
        <v>196</v>
      </c>
      <c r="N152" s="37" t="s">
        <v>240</v>
      </c>
      <c r="O152" s="38" t="s">
        <v>389</v>
      </c>
      <c r="P152" s="38" t="s">
        <v>763</v>
      </c>
      <c r="Q152" s="37" t="s">
        <v>198</v>
      </c>
      <c r="R152" s="36">
        <v>38042</v>
      </c>
      <c r="S152" s="37"/>
      <c r="T152" s="36"/>
      <c r="U152" s="37"/>
      <c r="V152" s="36"/>
      <c r="W152" s="37"/>
      <c r="X152" s="36"/>
      <c r="Y152" s="37"/>
      <c r="Z152" s="37"/>
      <c r="AA152" s="36"/>
      <c r="AB152" s="37"/>
      <c r="AC152" s="39">
        <v>141</v>
      </c>
      <c r="AD152" s="38" t="str">
        <f t="shared" si="6"/>
        <v>11년 9개월</v>
      </c>
      <c r="AE152" s="39">
        <f ca="1">(재직자!$AL$1-J152)/30</f>
        <v>103.2</v>
      </c>
      <c r="AF152" s="39" t="str">
        <f t="shared" ca="1" si="7"/>
        <v>8년 7개월</v>
      </c>
      <c r="AG152" s="39">
        <f t="shared" ca="1" si="8"/>
        <v>244.2</v>
      </c>
      <c r="AH152" s="39" t="str">
        <f t="shared" ca="1" si="9"/>
        <v>20년 4개월</v>
      </c>
      <c r="AI152" s="43" t="s">
        <v>1309</v>
      </c>
      <c r="AJ152" s="33" t="s">
        <v>1310</v>
      </c>
      <c r="AK152" s="62" t="s">
        <v>1311</v>
      </c>
      <c r="AL152" s="37"/>
      <c r="AM152" s="37" t="s">
        <v>1312</v>
      </c>
      <c r="AN152" s="54" t="s">
        <v>1313</v>
      </c>
      <c r="AO152" s="32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</row>
    <row r="153" spans="1:54" ht="16.5" customHeight="1">
      <c r="A153" s="33" t="s">
        <v>1314</v>
      </c>
      <c r="B153" s="33" t="s">
        <v>1315</v>
      </c>
      <c r="C153" s="33" t="s">
        <v>193</v>
      </c>
      <c r="D153" s="34" t="s">
        <v>1316</v>
      </c>
      <c r="E153" s="34" t="s">
        <v>51</v>
      </c>
      <c r="F153" s="34" t="s">
        <v>1317</v>
      </c>
      <c r="G153" s="34" t="s">
        <v>61</v>
      </c>
      <c r="H153" s="34" t="s">
        <v>1232</v>
      </c>
      <c r="I153" s="35" t="s">
        <v>1318</v>
      </c>
      <c r="J153" s="36">
        <v>42430</v>
      </c>
      <c r="K153" s="36"/>
      <c r="L153" s="36">
        <v>43054</v>
      </c>
      <c r="M153" s="37" t="s">
        <v>153</v>
      </c>
      <c r="N153" s="37" t="s">
        <v>1092</v>
      </c>
      <c r="O153" s="38" t="s">
        <v>1319</v>
      </c>
      <c r="P153" s="38" t="s">
        <v>711</v>
      </c>
      <c r="Q153" s="37" t="s">
        <v>209</v>
      </c>
      <c r="R153" s="36">
        <v>39503</v>
      </c>
      <c r="S153" s="37" t="s">
        <v>275</v>
      </c>
      <c r="T153" s="36">
        <v>38516</v>
      </c>
      <c r="U153" s="37" t="s">
        <v>1320</v>
      </c>
      <c r="V153" s="36">
        <v>37842</v>
      </c>
      <c r="W153" s="37" t="s">
        <v>1321</v>
      </c>
      <c r="X153" s="36">
        <v>38516</v>
      </c>
      <c r="Y153" s="37" t="s">
        <v>210</v>
      </c>
      <c r="Z153" s="37"/>
      <c r="AA153" s="36"/>
      <c r="AB153" s="37"/>
      <c r="AC153" s="39"/>
      <c r="AD153" s="38" t="str">
        <f t="shared" si="6"/>
        <v>0년 0개월</v>
      </c>
      <c r="AE153" s="39">
        <f ca="1">(재직자!$AL$1-J153)/30</f>
        <v>122.8</v>
      </c>
      <c r="AF153" s="39" t="str">
        <f t="shared" ca="1" si="7"/>
        <v>10년 2개월</v>
      </c>
      <c r="AG153" s="39">
        <f t="shared" ca="1" si="8"/>
        <v>122.8</v>
      </c>
      <c r="AH153" s="39" t="str">
        <f t="shared" ca="1" si="9"/>
        <v>10년 2개월</v>
      </c>
      <c r="AI153" s="43" t="s">
        <v>1322</v>
      </c>
      <c r="AJ153" s="33" t="s">
        <v>1323</v>
      </c>
      <c r="AK153" s="62" t="s">
        <v>1324</v>
      </c>
      <c r="AL153" s="37"/>
      <c r="AM153" s="37" t="s">
        <v>1325</v>
      </c>
      <c r="AN153" s="54" t="s">
        <v>1326</v>
      </c>
      <c r="AO153" s="32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</row>
    <row r="154" spans="1:54" ht="16.5" customHeight="1">
      <c r="A154" s="33" t="s">
        <v>204</v>
      </c>
      <c r="B154" s="33" t="s">
        <v>1327</v>
      </c>
      <c r="C154" s="33" t="s">
        <v>193</v>
      </c>
      <c r="D154" s="34" t="s">
        <v>1328</v>
      </c>
      <c r="E154" s="34" t="s">
        <v>88</v>
      </c>
      <c r="F154" s="34" t="s">
        <v>1329</v>
      </c>
      <c r="G154" s="34" t="s">
        <v>61</v>
      </c>
      <c r="H154" s="34" t="s">
        <v>1232</v>
      </c>
      <c r="I154" s="35" t="s">
        <v>1330</v>
      </c>
      <c r="J154" s="36">
        <v>42412</v>
      </c>
      <c r="K154" s="36"/>
      <c r="L154" s="36">
        <v>43061</v>
      </c>
      <c r="M154" s="37" t="s">
        <v>153</v>
      </c>
      <c r="N154" s="37" t="s">
        <v>318</v>
      </c>
      <c r="O154" s="38" t="s">
        <v>1331</v>
      </c>
      <c r="P154" s="38" t="s">
        <v>711</v>
      </c>
      <c r="Q154" s="37" t="s">
        <v>209</v>
      </c>
      <c r="R154" s="36">
        <v>38765</v>
      </c>
      <c r="S154" s="37" t="s">
        <v>275</v>
      </c>
      <c r="T154" s="36">
        <v>38807</v>
      </c>
      <c r="U154" s="37" t="s">
        <v>526</v>
      </c>
      <c r="V154" s="36">
        <v>38686</v>
      </c>
      <c r="W154" s="37" t="s">
        <v>1332</v>
      </c>
      <c r="X154" s="36">
        <v>41121</v>
      </c>
      <c r="Y154" s="37" t="s">
        <v>230</v>
      </c>
      <c r="Z154" s="37"/>
      <c r="AA154" s="36"/>
      <c r="AB154" s="37"/>
      <c r="AC154" s="39">
        <v>71</v>
      </c>
      <c r="AD154" s="38" t="str">
        <f t="shared" si="6"/>
        <v>5년 11개월</v>
      </c>
      <c r="AE154" s="39">
        <f ca="1">(재직자!$AL$1-J154)/30</f>
        <v>123.4</v>
      </c>
      <c r="AF154" s="39" t="str">
        <f t="shared" ca="1" si="7"/>
        <v>10년 3개월</v>
      </c>
      <c r="AG154" s="39">
        <f t="shared" ca="1" si="8"/>
        <v>194.4</v>
      </c>
      <c r="AH154" s="39" t="str">
        <f t="shared" ca="1" si="9"/>
        <v>16년 2개월</v>
      </c>
      <c r="AI154" s="43" t="s">
        <v>1333</v>
      </c>
      <c r="AJ154" s="33" t="s">
        <v>1334</v>
      </c>
      <c r="AK154" s="62" t="s">
        <v>1335</v>
      </c>
      <c r="AL154" s="37"/>
      <c r="AM154" s="37" t="s">
        <v>1336</v>
      </c>
      <c r="AN154" s="54" t="s">
        <v>1337</v>
      </c>
      <c r="AO154" s="32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</row>
    <row r="155" spans="1:54" ht="16.5" customHeight="1">
      <c r="A155" s="33" t="s">
        <v>191</v>
      </c>
      <c r="B155" s="33" t="s">
        <v>1338</v>
      </c>
      <c r="C155" s="33" t="s">
        <v>226</v>
      </c>
      <c r="D155" s="34" t="s">
        <v>1339</v>
      </c>
      <c r="E155" s="34" t="s">
        <v>139</v>
      </c>
      <c r="F155" s="34" t="s">
        <v>1340</v>
      </c>
      <c r="G155" s="34" t="s">
        <v>856</v>
      </c>
      <c r="H155" s="34"/>
      <c r="I155" s="35" t="s">
        <v>1341</v>
      </c>
      <c r="J155" s="36">
        <v>42796</v>
      </c>
      <c r="K155" s="36"/>
      <c r="L155" s="36">
        <v>43100</v>
      </c>
      <c r="M155" s="37" t="s">
        <v>196</v>
      </c>
      <c r="N155" s="37" t="s">
        <v>506</v>
      </c>
      <c r="O155" s="38" t="s">
        <v>1342</v>
      </c>
      <c r="P155" s="38" t="s">
        <v>711</v>
      </c>
      <c r="Q155" s="37" t="s">
        <v>198</v>
      </c>
      <c r="R155" s="36">
        <v>34754</v>
      </c>
      <c r="S155" s="37"/>
      <c r="T155" s="36"/>
      <c r="U155" s="37"/>
      <c r="V155" s="36"/>
      <c r="W155" s="37"/>
      <c r="X155" s="36"/>
      <c r="Y155" s="37" t="s">
        <v>199</v>
      </c>
      <c r="Z155" s="37"/>
      <c r="AA155" s="36"/>
      <c r="AB155" s="37"/>
      <c r="AC155" s="39">
        <v>206</v>
      </c>
      <c r="AD155" s="38" t="str">
        <f t="shared" si="6"/>
        <v>17년 2개월</v>
      </c>
      <c r="AE155" s="39">
        <f ca="1">(재직자!$AL$1-J155)/30</f>
        <v>110.6</v>
      </c>
      <c r="AF155" s="39" t="str">
        <f t="shared" ca="1" si="7"/>
        <v>9년 2개월</v>
      </c>
      <c r="AG155" s="39">
        <f t="shared" ca="1" si="8"/>
        <v>316.60000000000002</v>
      </c>
      <c r="AH155" s="39" t="str">
        <f t="shared" ca="1" si="9"/>
        <v>26년 4개월</v>
      </c>
      <c r="AI155" s="43" t="s">
        <v>1343</v>
      </c>
      <c r="AJ155" s="33" t="s">
        <v>1344</v>
      </c>
      <c r="AK155" s="62" t="s">
        <v>1345</v>
      </c>
      <c r="AL155" s="37"/>
      <c r="AM155" s="37" t="s">
        <v>1346</v>
      </c>
      <c r="AN155" s="54" t="s">
        <v>1347</v>
      </c>
      <c r="AO155" s="32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</row>
    <row r="156" spans="1:54" ht="16.5" customHeight="1">
      <c r="A156" s="33" t="s">
        <v>748</v>
      </c>
      <c r="B156" s="33" t="s">
        <v>1348</v>
      </c>
      <c r="C156" s="33" t="s">
        <v>924</v>
      </c>
      <c r="D156" s="34" t="s">
        <v>925</v>
      </c>
      <c r="E156" s="34" t="s">
        <v>51</v>
      </c>
      <c r="F156" s="34" t="s">
        <v>926</v>
      </c>
      <c r="G156" s="34" t="s">
        <v>61</v>
      </c>
      <c r="H156" s="34" t="s">
        <v>1232</v>
      </c>
      <c r="I156" s="35" t="s">
        <v>928</v>
      </c>
      <c r="J156" s="36">
        <v>42513</v>
      </c>
      <c r="K156" s="36"/>
      <c r="L156" s="36">
        <v>43100</v>
      </c>
      <c r="M156" s="37" t="s">
        <v>153</v>
      </c>
      <c r="N156" s="37" t="s">
        <v>929</v>
      </c>
      <c r="O156" s="38" t="s">
        <v>930</v>
      </c>
      <c r="P156" s="38" t="s">
        <v>1349</v>
      </c>
      <c r="Q156" s="37" t="s">
        <v>209</v>
      </c>
      <c r="R156" s="36">
        <v>40207</v>
      </c>
      <c r="S156" s="37"/>
      <c r="T156" s="36"/>
      <c r="U156" s="37" t="s">
        <v>543</v>
      </c>
      <c r="V156" s="36">
        <v>41663</v>
      </c>
      <c r="W156" s="37" t="s">
        <v>1350</v>
      </c>
      <c r="X156" s="36">
        <v>41793</v>
      </c>
      <c r="Y156" s="37" t="s">
        <v>210</v>
      </c>
      <c r="Z156" s="37"/>
      <c r="AA156" s="36"/>
      <c r="AB156" s="37"/>
      <c r="AC156" s="39">
        <v>19</v>
      </c>
      <c r="AD156" s="38" t="str">
        <f t="shared" si="6"/>
        <v>1년 7개월</v>
      </c>
      <c r="AE156" s="39">
        <f ca="1">(재직자!$AL$1-J156)/30</f>
        <v>120.03333333333333</v>
      </c>
      <c r="AF156" s="39" t="str">
        <f t="shared" ca="1" si="7"/>
        <v>10년 0개월</v>
      </c>
      <c r="AG156" s="39">
        <f t="shared" ca="1" si="8"/>
        <v>139.03333333333333</v>
      </c>
      <c r="AH156" s="39" t="str">
        <f t="shared" ca="1" si="9"/>
        <v>11년 7개월</v>
      </c>
      <c r="AI156" s="43" t="s">
        <v>932</v>
      </c>
      <c r="AJ156" s="33" t="s">
        <v>933</v>
      </c>
      <c r="AK156" s="62" t="s">
        <v>934</v>
      </c>
      <c r="AL156" s="37"/>
      <c r="AM156" s="37" t="s">
        <v>935</v>
      </c>
      <c r="AN156" s="54" t="s">
        <v>1351</v>
      </c>
      <c r="AO156" s="32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</row>
    <row r="157" spans="1:54" ht="15" customHeight="1">
      <c r="A157" s="33" t="s">
        <v>798</v>
      </c>
      <c r="B157" s="37">
        <v>130802</v>
      </c>
      <c r="C157" s="33" t="s">
        <v>924</v>
      </c>
      <c r="D157" s="37" t="s">
        <v>1352</v>
      </c>
      <c r="E157" s="37" t="s">
        <v>44</v>
      </c>
      <c r="F157" s="38" t="s">
        <v>1353</v>
      </c>
      <c r="G157" s="37" t="s">
        <v>61</v>
      </c>
      <c r="H157" s="34" t="s">
        <v>1232</v>
      </c>
      <c r="I157" s="37" t="s">
        <v>1354</v>
      </c>
      <c r="J157" s="36">
        <v>41498</v>
      </c>
      <c r="K157" s="36"/>
      <c r="L157" s="36">
        <v>43100</v>
      </c>
      <c r="M157" s="37" t="s">
        <v>448</v>
      </c>
      <c r="N157" s="37" t="s">
        <v>1355</v>
      </c>
      <c r="O157" s="37"/>
      <c r="P157" s="37"/>
      <c r="Q157" s="37" t="s">
        <v>448</v>
      </c>
      <c r="R157" s="36"/>
      <c r="S157" s="37"/>
      <c r="T157" s="36"/>
      <c r="U157" s="37"/>
      <c r="V157" s="36"/>
      <c r="W157" s="37"/>
      <c r="X157" s="37"/>
      <c r="Y157" s="37" t="s">
        <v>210</v>
      </c>
      <c r="Z157" s="37"/>
      <c r="AA157" s="37"/>
      <c r="AB157" s="37"/>
      <c r="AC157" s="39">
        <v>16</v>
      </c>
      <c r="AD157" s="37" t="str">
        <f t="shared" si="6"/>
        <v>1년 4개월</v>
      </c>
      <c r="AE157" s="39">
        <f ca="1">(재직자!$AL$1-J157)/30</f>
        <v>153.86666666666667</v>
      </c>
      <c r="AF157" s="37" t="str">
        <f t="shared" ca="1" si="7"/>
        <v>12년 9개월</v>
      </c>
      <c r="AG157" s="39">
        <f t="shared" ca="1" si="8"/>
        <v>169.86666666666667</v>
      </c>
      <c r="AH157" s="37" t="str">
        <f t="shared" ca="1" si="9"/>
        <v>14년 1개월</v>
      </c>
      <c r="AI157" s="44" t="s">
        <v>1356</v>
      </c>
      <c r="AJ157" s="37" t="s">
        <v>1357</v>
      </c>
      <c r="AK157" s="50" t="s">
        <v>1358</v>
      </c>
      <c r="AL157" s="37"/>
      <c r="AM157" s="37" t="s">
        <v>1359</v>
      </c>
      <c r="AN157" s="54">
        <v>11.26</v>
      </c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</row>
    <row r="158" spans="1:54" ht="16.5" customHeight="1">
      <c r="A158" s="33" t="s">
        <v>1360</v>
      </c>
      <c r="B158" s="33" t="s">
        <v>1361</v>
      </c>
      <c r="C158" s="33" t="s">
        <v>193</v>
      </c>
      <c r="D158" s="34" t="s">
        <v>1362</v>
      </c>
      <c r="E158" s="34" t="s">
        <v>51</v>
      </c>
      <c r="F158" s="34" t="s">
        <v>1363</v>
      </c>
      <c r="G158" s="34" t="s">
        <v>880</v>
      </c>
      <c r="H158" s="37"/>
      <c r="I158" s="35" t="s">
        <v>1364</v>
      </c>
      <c r="J158" s="36">
        <v>42347</v>
      </c>
      <c r="K158" s="36"/>
      <c r="L158" s="36">
        <v>43100</v>
      </c>
      <c r="M158" s="37" t="s">
        <v>153</v>
      </c>
      <c r="N158" s="37" t="s">
        <v>456</v>
      </c>
      <c r="O158" s="38" t="s">
        <v>457</v>
      </c>
      <c r="P158" s="38"/>
      <c r="Q158" s="37" t="s">
        <v>209</v>
      </c>
      <c r="R158" s="36"/>
      <c r="S158" s="37"/>
      <c r="T158" s="37"/>
      <c r="U158" s="37"/>
      <c r="V158" s="37"/>
      <c r="W158" s="37"/>
      <c r="X158" s="37"/>
      <c r="Y158" s="37" t="s">
        <v>210</v>
      </c>
      <c r="Z158" s="37"/>
      <c r="AA158" s="36"/>
      <c r="AB158" s="37"/>
      <c r="AC158" s="39"/>
      <c r="AD158" s="38" t="str">
        <f t="shared" si="6"/>
        <v>0년 0개월</v>
      </c>
      <c r="AE158" s="39">
        <f ca="1">(재직자!$AL$1-J158)/30</f>
        <v>125.56666666666666</v>
      </c>
      <c r="AF158" s="39" t="str">
        <f t="shared" ca="1" si="7"/>
        <v>10년 5개월</v>
      </c>
      <c r="AG158" s="39">
        <f t="shared" ca="1" si="8"/>
        <v>125.56666666666666</v>
      </c>
      <c r="AH158" s="39" t="str">
        <f t="shared" ca="1" si="9"/>
        <v>10년 5개월</v>
      </c>
      <c r="AI158" s="43" t="s">
        <v>1365</v>
      </c>
      <c r="AJ158" s="33" t="s">
        <v>1366</v>
      </c>
      <c r="AK158" s="62" t="s">
        <v>1367</v>
      </c>
      <c r="AL158" s="37"/>
      <c r="AM158" s="37" t="s">
        <v>1368</v>
      </c>
      <c r="AN158" s="54" t="s">
        <v>1369</v>
      </c>
      <c r="AO158" s="32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</row>
    <row r="159" spans="1:54" ht="15" customHeight="1">
      <c r="A159" s="33" t="s">
        <v>233</v>
      </c>
      <c r="B159" s="37">
        <v>141002</v>
      </c>
      <c r="C159" s="37" t="s">
        <v>226</v>
      </c>
      <c r="D159" s="37" t="s">
        <v>1370</v>
      </c>
      <c r="E159" s="37" t="s">
        <v>51</v>
      </c>
      <c r="F159" s="38"/>
      <c r="G159" s="34" t="s">
        <v>463</v>
      </c>
      <c r="H159" s="34"/>
      <c r="I159" s="37" t="s">
        <v>1371</v>
      </c>
      <c r="J159" s="36">
        <v>41918</v>
      </c>
      <c r="K159" s="36"/>
      <c r="L159" s="36">
        <v>43145</v>
      </c>
      <c r="M159" s="37" t="s">
        <v>448</v>
      </c>
      <c r="N159" s="37" t="s">
        <v>955</v>
      </c>
      <c r="O159" s="37"/>
      <c r="P159" s="37"/>
      <c r="Q159" s="37" t="s">
        <v>448</v>
      </c>
      <c r="R159" s="36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9">
        <v>20</v>
      </c>
      <c r="AD159" s="37" t="str">
        <f t="shared" si="6"/>
        <v>1년 8개월</v>
      </c>
      <c r="AE159" s="39">
        <f ca="1">(재직자!$AL$1-J159)/30</f>
        <v>139.86666666666667</v>
      </c>
      <c r="AF159" s="37" t="str">
        <f t="shared" ca="1" si="7"/>
        <v>11년 7개월</v>
      </c>
      <c r="AG159" s="39">
        <f t="shared" ca="1" si="8"/>
        <v>159.86666666666667</v>
      </c>
      <c r="AH159" s="37" t="str">
        <f t="shared" ca="1" si="9"/>
        <v>13년 3개월</v>
      </c>
      <c r="AI159" s="58" t="s">
        <v>1372</v>
      </c>
      <c r="AJ159" s="37" t="s">
        <v>1373</v>
      </c>
      <c r="AK159" s="50" t="s">
        <v>1374</v>
      </c>
      <c r="AL159" s="37"/>
      <c r="AM159" s="37" t="s">
        <v>1375</v>
      </c>
      <c r="AN159" s="54" t="s">
        <v>1376</v>
      </c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</row>
    <row r="160" spans="1:54" ht="15" customHeight="1">
      <c r="A160" s="33" t="s">
        <v>100</v>
      </c>
      <c r="B160" s="33" t="s">
        <v>1377</v>
      </c>
      <c r="C160" s="33" t="s">
        <v>226</v>
      </c>
      <c r="D160" s="34" t="s">
        <v>1378</v>
      </c>
      <c r="E160" s="34" t="s">
        <v>139</v>
      </c>
      <c r="F160" s="38"/>
      <c r="G160" s="34" t="s">
        <v>771</v>
      </c>
      <c r="H160" s="34"/>
      <c r="I160" s="35" t="s">
        <v>1379</v>
      </c>
      <c r="J160" s="36">
        <v>40077</v>
      </c>
      <c r="K160" s="36">
        <v>42552</v>
      </c>
      <c r="L160" s="36">
        <v>43159</v>
      </c>
      <c r="M160" s="37" t="s">
        <v>146</v>
      </c>
      <c r="N160" s="37" t="s">
        <v>1380</v>
      </c>
      <c r="O160" s="38" t="s">
        <v>1381</v>
      </c>
      <c r="P160" s="38"/>
      <c r="Q160" s="37" t="s">
        <v>265</v>
      </c>
      <c r="R160" s="36"/>
      <c r="S160" s="37"/>
      <c r="T160" s="37"/>
      <c r="U160" s="37"/>
      <c r="V160" s="37"/>
      <c r="W160" s="37"/>
      <c r="X160" s="37"/>
      <c r="Y160" s="37"/>
      <c r="Z160" s="37"/>
      <c r="AA160" s="36"/>
      <c r="AB160" s="37"/>
      <c r="AC160" s="39">
        <v>107</v>
      </c>
      <c r="AD160" s="38" t="str">
        <f t="shared" si="6"/>
        <v>8년 11개월</v>
      </c>
      <c r="AE160" s="39">
        <f ca="1">(재직자!$AL$1-J160)/30</f>
        <v>201.23333333333332</v>
      </c>
      <c r="AF160" s="39" t="str">
        <f t="shared" ca="1" si="7"/>
        <v>16년 9개월</v>
      </c>
      <c r="AG160" s="39">
        <f t="shared" ca="1" si="8"/>
        <v>308.23333333333335</v>
      </c>
      <c r="AH160" s="39" t="str">
        <f t="shared" ca="1" si="9"/>
        <v>25년 8개월</v>
      </c>
      <c r="AI160" s="43" t="s">
        <v>1382</v>
      </c>
      <c r="AJ160" s="33" t="s">
        <v>1383</v>
      </c>
      <c r="AK160" s="50" t="s">
        <v>1384</v>
      </c>
      <c r="AL160" s="37"/>
      <c r="AM160" s="37" t="s">
        <v>1385</v>
      </c>
      <c r="AN160" s="54" t="s">
        <v>1386</v>
      </c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</row>
    <row r="161" spans="1:54" ht="16.5" customHeight="1">
      <c r="A161" s="33" t="s">
        <v>1387</v>
      </c>
      <c r="B161" s="33" t="s">
        <v>1388</v>
      </c>
      <c r="C161" s="33" t="s">
        <v>193</v>
      </c>
      <c r="D161" s="34" t="s">
        <v>1389</v>
      </c>
      <c r="E161" s="34" t="s">
        <v>51</v>
      </c>
      <c r="F161" s="34"/>
      <c r="G161" s="34" t="s">
        <v>880</v>
      </c>
      <c r="H161" s="37"/>
      <c r="I161" s="35" t="s">
        <v>1390</v>
      </c>
      <c r="J161" s="36">
        <v>42430</v>
      </c>
      <c r="K161" s="36"/>
      <c r="L161" s="36">
        <v>43159</v>
      </c>
      <c r="M161" s="37" t="s">
        <v>153</v>
      </c>
      <c r="N161" s="37" t="s">
        <v>1391</v>
      </c>
      <c r="O161" s="38" t="s">
        <v>1392</v>
      </c>
      <c r="P161" s="38" t="s">
        <v>711</v>
      </c>
      <c r="Q161" s="37" t="s">
        <v>209</v>
      </c>
      <c r="R161" s="36">
        <v>42419</v>
      </c>
      <c r="S161" s="37" t="s">
        <v>275</v>
      </c>
      <c r="T161" s="36">
        <v>42200</v>
      </c>
      <c r="U161" s="37" t="s">
        <v>1393</v>
      </c>
      <c r="V161" s="36">
        <v>41641</v>
      </c>
      <c r="W161" s="37" t="s">
        <v>576</v>
      </c>
      <c r="X161" s="36">
        <v>41060</v>
      </c>
      <c r="Y161" s="37" t="s">
        <v>210</v>
      </c>
      <c r="Z161" s="37"/>
      <c r="AA161" s="36"/>
      <c r="AB161" s="37"/>
      <c r="AC161" s="39"/>
      <c r="AD161" s="38" t="str">
        <f t="shared" si="6"/>
        <v>0년 0개월</v>
      </c>
      <c r="AE161" s="39">
        <f ca="1">(재직자!$AL$1-J161)/30</f>
        <v>122.8</v>
      </c>
      <c r="AF161" s="39" t="str">
        <f t="shared" ca="1" si="7"/>
        <v>10년 2개월</v>
      </c>
      <c r="AG161" s="39">
        <f t="shared" ca="1" si="8"/>
        <v>122.8</v>
      </c>
      <c r="AH161" s="39" t="str">
        <f t="shared" ca="1" si="9"/>
        <v>10년 2개월</v>
      </c>
      <c r="AI161" s="43" t="s">
        <v>1394</v>
      </c>
      <c r="AJ161" s="33" t="s">
        <v>1395</v>
      </c>
      <c r="AK161" s="62" t="s">
        <v>678</v>
      </c>
      <c r="AL161" s="37"/>
      <c r="AM161" s="37" t="s">
        <v>1396</v>
      </c>
      <c r="AN161" s="54" t="s">
        <v>1397</v>
      </c>
      <c r="AO161" s="32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</row>
    <row r="162" spans="1:54" ht="16.5" customHeight="1">
      <c r="A162" s="33" t="s">
        <v>1314</v>
      </c>
      <c r="B162" s="33" t="s">
        <v>1398</v>
      </c>
      <c r="C162" s="33" t="s">
        <v>193</v>
      </c>
      <c r="D162" s="34" t="s">
        <v>1399</v>
      </c>
      <c r="E162" s="34" t="s">
        <v>88</v>
      </c>
      <c r="F162" s="34" t="s">
        <v>1400</v>
      </c>
      <c r="G162" s="34" t="s">
        <v>856</v>
      </c>
      <c r="H162" s="37"/>
      <c r="I162" s="35" t="s">
        <v>1401</v>
      </c>
      <c r="J162" s="36">
        <v>42513</v>
      </c>
      <c r="K162" s="36"/>
      <c r="L162" s="36">
        <v>43159</v>
      </c>
      <c r="M162" s="37" t="s">
        <v>153</v>
      </c>
      <c r="N162" s="37" t="s">
        <v>1402</v>
      </c>
      <c r="O162" s="38" t="s">
        <v>457</v>
      </c>
      <c r="P162" s="38" t="s">
        <v>763</v>
      </c>
      <c r="Q162" s="37" t="s">
        <v>209</v>
      </c>
      <c r="R162" s="36">
        <v>39499</v>
      </c>
      <c r="S162" s="37" t="s">
        <v>275</v>
      </c>
      <c r="T162" s="36">
        <v>39240</v>
      </c>
      <c r="U162" s="37"/>
      <c r="V162" s="37"/>
      <c r="W162" s="37"/>
      <c r="X162" s="37"/>
      <c r="Y162" s="37" t="s">
        <v>276</v>
      </c>
      <c r="Z162" s="37"/>
      <c r="AA162" s="36"/>
      <c r="AB162" s="37"/>
      <c r="AC162" s="39">
        <v>72</v>
      </c>
      <c r="AD162" s="38" t="str">
        <f t="shared" si="6"/>
        <v>6년 0개월</v>
      </c>
      <c r="AE162" s="39">
        <f ca="1">(재직자!$AL$1-J162)/30</f>
        <v>120.03333333333333</v>
      </c>
      <c r="AF162" s="39" t="str">
        <f t="shared" ca="1" si="7"/>
        <v>10년 0개월</v>
      </c>
      <c r="AG162" s="39">
        <f t="shared" ca="1" si="8"/>
        <v>192.03333333333333</v>
      </c>
      <c r="AH162" s="39" t="str">
        <f t="shared" ca="1" si="9"/>
        <v>16년 0개월</v>
      </c>
      <c r="AI162" s="43" t="s">
        <v>1403</v>
      </c>
      <c r="AJ162" s="33" t="s">
        <v>1404</v>
      </c>
      <c r="AK162" s="62" t="s">
        <v>1405</v>
      </c>
      <c r="AL162" s="37"/>
      <c r="AM162" s="37" t="s">
        <v>1406</v>
      </c>
      <c r="AN162" s="54" t="s">
        <v>1407</v>
      </c>
      <c r="AO162" s="32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</row>
    <row r="163" spans="1:54" ht="16.5" customHeight="1">
      <c r="A163" s="33" t="s">
        <v>191</v>
      </c>
      <c r="B163" s="33" t="s">
        <v>1408</v>
      </c>
      <c r="C163" s="33" t="s">
        <v>226</v>
      </c>
      <c r="D163" s="34" t="s">
        <v>1409</v>
      </c>
      <c r="E163" s="34" t="s">
        <v>228</v>
      </c>
      <c r="F163" s="34" t="s">
        <v>1410</v>
      </c>
      <c r="G163" s="34" t="s">
        <v>880</v>
      </c>
      <c r="H163" s="34"/>
      <c r="I163" s="35" t="s">
        <v>1411</v>
      </c>
      <c r="J163" s="36">
        <v>43173</v>
      </c>
      <c r="K163" s="36"/>
      <c r="L163" s="36">
        <v>43179</v>
      </c>
      <c r="M163" s="37" t="s">
        <v>153</v>
      </c>
      <c r="N163" s="37" t="s">
        <v>1412</v>
      </c>
      <c r="O163" s="38" t="s">
        <v>1413</v>
      </c>
      <c r="P163" s="38" t="s">
        <v>1414</v>
      </c>
      <c r="Q163" s="37" t="s">
        <v>209</v>
      </c>
      <c r="R163" s="36">
        <v>36210</v>
      </c>
      <c r="S163" s="37"/>
      <c r="T163" s="36"/>
      <c r="U163" s="37"/>
      <c r="V163" s="36"/>
      <c r="W163" s="37"/>
      <c r="X163" s="36"/>
      <c r="Y163" s="37"/>
      <c r="Z163" s="37"/>
      <c r="AA163" s="36"/>
      <c r="AB163" s="37"/>
      <c r="AC163" s="39"/>
      <c r="AD163" s="38" t="str">
        <f t="shared" si="6"/>
        <v>0년 0개월</v>
      </c>
      <c r="AE163" s="39">
        <f ca="1">(재직자!$AL$1-J163)/30</f>
        <v>98.033333333333331</v>
      </c>
      <c r="AF163" s="39" t="str">
        <f t="shared" ca="1" si="7"/>
        <v>8년 2개월</v>
      </c>
      <c r="AG163" s="39">
        <f t="shared" ca="1" si="8"/>
        <v>98.033333333333331</v>
      </c>
      <c r="AH163" s="39" t="str">
        <f t="shared" ca="1" si="9"/>
        <v>8년 2개월</v>
      </c>
      <c r="AI163" s="43" t="s">
        <v>1415</v>
      </c>
      <c r="AJ163" s="33" t="s">
        <v>1416</v>
      </c>
      <c r="AK163" s="62" t="s">
        <v>1417</v>
      </c>
      <c r="AL163" s="37"/>
      <c r="AM163" s="37" t="s">
        <v>1418</v>
      </c>
      <c r="AN163" s="54" t="s">
        <v>1419</v>
      </c>
      <c r="AO163" s="32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</row>
    <row r="164" spans="1:54" ht="15" customHeight="1">
      <c r="A164" s="33" t="s">
        <v>183</v>
      </c>
      <c r="B164" s="59">
        <v>130205</v>
      </c>
      <c r="C164" s="37" t="s">
        <v>193</v>
      </c>
      <c r="D164" s="37" t="s">
        <v>1420</v>
      </c>
      <c r="E164" s="37" t="s">
        <v>44</v>
      </c>
      <c r="F164" s="38" t="s">
        <v>1421</v>
      </c>
      <c r="G164" s="37" t="s">
        <v>856</v>
      </c>
      <c r="H164" s="34"/>
      <c r="I164" s="37" t="s">
        <v>1422</v>
      </c>
      <c r="J164" s="36">
        <v>41330</v>
      </c>
      <c r="K164" s="36">
        <v>42736</v>
      </c>
      <c r="L164" s="36">
        <v>43182</v>
      </c>
      <c r="M164" s="37" t="s">
        <v>153</v>
      </c>
      <c r="N164" s="37" t="s">
        <v>318</v>
      </c>
      <c r="O164" s="37" t="s">
        <v>1423</v>
      </c>
      <c r="P164" s="37"/>
      <c r="Q164" s="37" t="s">
        <v>209</v>
      </c>
      <c r="R164" s="36">
        <v>41138</v>
      </c>
      <c r="S164" s="37" t="s">
        <v>275</v>
      </c>
      <c r="T164" s="36">
        <v>41236</v>
      </c>
      <c r="U164" s="37"/>
      <c r="V164" s="36"/>
      <c r="W164" s="37"/>
      <c r="X164" s="37"/>
      <c r="Y164" s="37" t="s">
        <v>276</v>
      </c>
      <c r="Z164" s="37"/>
      <c r="AA164" s="37"/>
      <c r="AB164" s="37" t="s">
        <v>210</v>
      </c>
      <c r="AC164" s="39">
        <v>0</v>
      </c>
      <c r="AD164" s="37" t="str">
        <f t="shared" si="6"/>
        <v>0년 0개월</v>
      </c>
      <c r="AE164" s="39">
        <f ca="1">(재직자!$AL$1-J164)/30</f>
        <v>159.46666666666667</v>
      </c>
      <c r="AF164" s="37" t="str">
        <f t="shared" ca="1" si="7"/>
        <v>13년 3개월</v>
      </c>
      <c r="AG164" s="39">
        <f t="shared" ca="1" si="8"/>
        <v>159.46666666666667</v>
      </c>
      <c r="AH164" s="37" t="str">
        <f t="shared" ca="1" si="9"/>
        <v>13년 3개월</v>
      </c>
      <c r="AI164" s="44" t="s">
        <v>1424</v>
      </c>
      <c r="AJ164" s="37" t="s">
        <v>1425</v>
      </c>
      <c r="AK164" s="50" t="s">
        <v>1426</v>
      </c>
      <c r="AL164" s="37"/>
      <c r="AM164" s="37" t="s">
        <v>1427</v>
      </c>
      <c r="AN164" s="54">
        <v>8.23</v>
      </c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</row>
    <row r="165" spans="1:54" ht="16.5" customHeight="1">
      <c r="A165" s="33" t="s">
        <v>680</v>
      </c>
      <c r="B165" s="33" t="s">
        <v>1428</v>
      </c>
      <c r="C165" s="33" t="s">
        <v>924</v>
      </c>
      <c r="D165" s="34" t="s">
        <v>1429</v>
      </c>
      <c r="E165" s="34" t="s">
        <v>51</v>
      </c>
      <c r="F165" s="34" t="s">
        <v>1430</v>
      </c>
      <c r="G165" s="34" t="s">
        <v>61</v>
      </c>
      <c r="H165" s="34" t="s">
        <v>1221</v>
      </c>
      <c r="I165" s="35" t="s">
        <v>1431</v>
      </c>
      <c r="J165" s="36">
        <v>42786</v>
      </c>
      <c r="K165" s="36"/>
      <c r="L165" s="36">
        <v>43220</v>
      </c>
      <c r="M165" s="37" t="s">
        <v>153</v>
      </c>
      <c r="N165" s="37" t="s">
        <v>1123</v>
      </c>
      <c r="O165" s="38" t="s">
        <v>1432</v>
      </c>
      <c r="P165" s="38" t="s">
        <v>1433</v>
      </c>
      <c r="Q165" s="37" t="s">
        <v>209</v>
      </c>
      <c r="R165" s="36">
        <v>42422</v>
      </c>
      <c r="S165" s="37"/>
      <c r="T165" s="36"/>
      <c r="U165" s="37"/>
      <c r="V165" s="36"/>
      <c r="W165" s="37"/>
      <c r="X165" s="36"/>
      <c r="Y165" s="37"/>
      <c r="Z165" s="37"/>
      <c r="AA165" s="36"/>
      <c r="AB165" s="37"/>
      <c r="AC165" s="39"/>
      <c r="AD165" s="38" t="str">
        <f t="shared" si="6"/>
        <v>0년 0개월</v>
      </c>
      <c r="AE165" s="39">
        <f ca="1">(재직자!$AL$1-J165)/30</f>
        <v>110.93333333333334</v>
      </c>
      <c r="AF165" s="39" t="str">
        <f t="shared" ca="1" si="7"/>
        <v>9년 2개월</v>
      </c>
      <c r="AG165" s="39">
        <f t="shared" ca="1" si="8"/>
        <v>110.93333333333334</v>
      </c>
      <c r="AH165" s="39" t="str">
        <f t="shared" ca="1" si="9"/>
        <v>9년 2개월</v>
      </c>
      <c r="AI165" s="43" t="s">
        <v>1434</v>
      </c>
      <c r="AJ165" s="33" t="s">
        <v>1435</v>
      </c>
      <c r="AK165" s="62" t="s">
        <v>1436</v>
      </c>
      <c r="AL165" s="37"/>
      <c r="AM165" s="37" t="s">
        <v>1437</v>
      </c>
      <c r="AN165" s="54" t="s">
        <v>1228</v>
      </c>
      <c r="AO165" s="32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</row>
    <row r="166" spans="1:54" ht="16.5" customHeight="1">
      <c r="A166" s="33" t="s">
        <v>728</v>
      </c>
      <c r="B166" s="33" t="s">
        <v>1438</v>
      </c>
      <c r="C166" s="33" t="s">
        <v>193</v>
      </c>
      <c r="D166" s="34" t="s">
        <v>504</v>
      </c>
      <c r="E166" s="34" t="s">
        <v>34</v>
      </c>
      <c r="F166" s="34" t="s">
        <v>1439</v>
      </c>
      <c r="G166" s="34" t="s">
        <v>880</v>
      </c>
      <c r="H166" s="34"/>
      <c r="I166" s="35" t="s">
        <v>1440</v>
      </c>
      <c r="J166" s="36">
        <v>43199</v>
      </c>
      <c r="K166" s="36"/>
      <c r="L166" s="36">
        <v>43220</v>
      </c>
      <c r="M166" s="37" t="s">
        <v>146</v>
      </c>
      <c r="N166" s="37" t="s">
        <v>1441</v>
      </c>
      <c r="O166" s="38" t="s">
        <v>1442</v>
      </c>
      <c r="P166" s="38" t="s">
        <v>964</v>
      </c>
      <c r="Q166" s="37" t="s">
        <v>265</v>
      </c>
      <c r="R166" s="36">
        <v>38769</v>
      </c>
      <c r="S166" s="37" t="s">
        <v>405</v>
      </c>
      <c r="T166" s="36">
        <v>38699</v>
      </c>
      <c r="U166" s="37"/>
      <c r="V166" s="36"/>
      <c r="W166" s="37"/>
      <c r="X166" s="36"/>
      <c r="Y166" s="37"/>
      <c r="Z166" s="37"/>
      <c r="AA166" s="36"/>
      <c r="AB166" s="37"/>
      <c r="AC166" s="39">
        <v>146</v>
      </c>
      <c r="AD166" s="38" t="str">
        <f t="shared" si="6"/>
        <v>12년 2개월</v>
      </c>
      <c r="AE166" s="39">
        <f ca="1">(재직자!$AL$1-J166)/30</f>
        <v>97.166666666666671</v>
      </c>
      <c r="AF166" s="39" t="str">
        <f t="shared" ca="1" si="7"/>
        <v>8년 1개월</v>
      </c>
      <c r="AG166" s="39">
        <f t="shared" ca="1" si="8"/>
        <v>243.16666666666669</v>
      </c>
      <c r="AH166" s="39" t="str">
        <f t="shared" ca="1" si="9"/>
        <v>20년 3개월</v>
      </c>
      <c r="AI166" s="43" t="s">
        <v>1443</v>
      </c>
      <c r="AJ166" s="33" t="s">
        <v>1444</v>
      </c>
      <c r="AK166" s="62" t="s">
        <v>1445</v>
      </c>
      <c r="AL166" s="37"/>
      <c r="AM166" s="37" t="s">
        <v>1325</v>
      </c>
      <c r="AN166" s="54" t="s">
        <v>1446</v>
      </c>
      <c r="AO166" s="32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</row>
    <row r="167" spans="1:54" ht="16.5" customHeight="1">
      <c r="A167" s="33" t="s">
        <v>680</v>
      </c>
      <c r="B167" s="33" t="s">
        <v>1447</v>
      </c>
      <c r="C167" s="33" t="s">
        <v>193</v>
      </c>
      <c r="D167" s="34" t="s">
        <v>1448</v>
      </c>
      <c r="E167" s="34" t="s">
        <v>228</v>
      </c>
      <c r="F167" s="34" t="s">
        <v>1449</v>
      </c>
      <c r="G167" s="34" t="s">
        <v>61</v>
      </c>
      <c r="H167" s="34" t="s">
        <v>1232</v>
      </c>
      <c r="I167" s="35" t="s">
        <v>1450</v>
      </c>
      <c r="J167" s="36">
        <v>42787</v>
      </c>
      <c r="K167" s="36"/>
      <c r="L167" s="36">
        <v>43273</v>
      </c>
      <c r="M167" s="37" t="s">
        <v>153</v>
      </c>
      <c r="N167" s="37" t="s">
        <v>905</v>
      </c>
      <c r="O167" s="38" t="s">
        <v>1451</v>
      </c>
      <c r="P167" s="38" t="s">
        <v>711</v>
      </c>
      <c r="Q167" s="37" t="s">
        <v>209</v>
      </c>
      <c r="R167" s="36">
        <v>36945</v>
      </c>
      <c r="S167" s="37"/>
      <c r="T167" s="36"/>
      <c r="U167" s="37"/>
      <c r="V167" s="36"/>
      <c r="W167" s="37"/>
      <c r="X167" s="36"/>
      <c r="Y167" s="37" t="s">
        <v>199</v>
      </c>
      <c r="Z167" s="37"/>
      <c r="AA167" s="36"/>
      <c r="AB167" s="37"/>
      <c r="AC167" s="39">
        <v>157</v>
      </c>
      <c r="AD167" s="38" t="str">
        <f t="shared" si="6"/>
        <v>13년 1개월</v>
      </c>
      <c r="AE167" s="39">
        <f ca="1">(재직자!$AL$1-J167)/30</f>
        <v>110.9</v>
      </c>
      <c r="AF167" s="39" t="str">
        <f t="shared" ca="1" si="7"/>
        <v>9년 2개월</v>
      </c>
      <c r="AG167" s="39">
        <f t="shared" ca="1" si="8"/>
        <v>267.89999999999998</v>
      </c>
      <c r="AH167" s="39" t="str">
        <f t="shared" ca="1" si="9"/>
        <v>22년 3개월</v>
      </c>
      <c r="AI167" s="43" t="s">
        <v>1452</v>
      </c>
      <c r="AJ167" s="33" t="s">
        <v>1453</v>
      </c>
      <c r="AK167" s="62" t="s">
        <v>1454</v>
      </c>
      <c r="AL167" s="37"/>
      <c r="AM167" s="37" t="s">
        <v>1455</v>
      </c>
      <c r="AN167" s="54" t="s">
        <v>1456</v>
      </c>
      <c r="AO167" s="32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</row>
    <row r="168" spans="1:54" ht="15" customHeight="1">
      <c r="A168" s="33" t="s">
        <v>42</v>
      </c>
      <c r="B168" s="33" t="s">
        <v>1457</v>
      </c>
      <c r="C168" s="33" t="s">
        <v>193</v>
      </c>
      <c r="D168" s="34" t="s">
        <v>1458</v>
      </c>
      <c r="E168" s="34" t="s">
        <v>228</v>
      </c>
      <c r="F168" s="38" t="s">
        <v>1459</v>
      </c>
      <c r="G168" s="34" t="s">
        <v>856</v>
      </c>
      <c r="H168" s="34"/>
      <c r="I168" s="35" t="s">
        <v>1460</v>
      </c>
      <c r="J168" s="36">
        <v>37834</v>
      </c>
      <c r="K168" s="36">
        <v>42736</v>
      </c>
      <c r="L168" s="36">
        <v>43287</v>
      </c>
      <c r="M168" s="37" t="s">
        <v>153</v>
      </c>
      <c r="N168" s="37" t="s">
        <v>868</v>
      </c>
      <c r="O168" s="38" t="s">
        <v>457</v>
      </c>
      <c r="P168" s="38"/>
      <c r="Q168" s="37" t="s">
        <v>209</v>
      </c>
      <c r="R168" s="36"/>
      <c r="S168" s="37"/>
      <c r="T168" s="37"/>
      <c r="U168" s="37"/>
      <c r="V168" s="37"/>
      <c r="W168" s="37"/>
      <c r="X168" s="37"/>
      <c r="Y168" s="37" t="s">
        <v>199</v>
      </c>
      <c r="Z168" s="37" t="s">
        <v>211</v>
      </c>
      <c r="AA168" s="36" t="e">
        <f>+VLOOKUP($D168,[1]Sheet1!$A$1:$C$42,3,0)</f>
        <v>#N/A</v>
      </c>
      <c r="AB168" s="37" t="s">
        <v>230</v>
      </c>
      <c r="AC168" s="39">
        <v>3</v>
      </c>
      <c r="AD168" s="38" t="str">
        <f t="shared" si="6"/>
        <v>0년 3개월</v>
      </c>
      <c r="AE168" s="39">
        <f ca="1">(재직자!$AL$1-J168)/30</f>
        <v>276</v>
      </c>
      <c r="AF168" s="39" t="str">
        <f t="shared" ca="1" si="7"/>
        <v>23년 0개월</v>
      </c>
      <c r="AG168" s="39">
        <f t="shared" ca="1" si="8"/>
        <v>279</v>
      </c>
      <c r="AH168" s="39" t="str">
        <f t="shared" ca="1" si="9"/>
        <v>23년 3개월</v>
      </c>
      <c r="AI168" s="43" t="s">
        <v>1461</v>
      </c>
      <c r="AJ168" s="33" t="s">
        <v>1462</v>
      </c>
      <c r="AK168" s="44" t="s">
        <v>1463</v>
      </c>
      <c r="AL168" s="37"/>
      <c r="AM168" s="37" t="s">
        <v>1464</v>
      </c>
      <c r="AN168" s="54" t="s">
        <v>1465</v>
      </c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</row>
    <row r="169" spans="1:54" ht="16.5" customHeight="1">
      <c r="A169" s="33" t="s">
        <v>280</v>
      </c>
      <c r="B169" s="33" t="s">
        <v>1466</v>
      </c>
      <c r="C169" s="33" t="s">
        <v>226</v>
      </c>
      <c r="D169" s="34" t="s">
        <v>1467</v>
      </c>
      <c r="E169" s="34" t="s">
        <v>228</v>
      </c>
      <c r="F169" s="34" t="s">
        <v>1468</v>
      </c>
      <c r="G169" s="34" t="s">
        <v>880</v>
      </c>
      <c r="H169" s="34"/>
      <c r="I169" s="35" t="s">
        <v>1469</v>
      </c>
      <c r="J169" s="36">
        <v>43018</v>
      </c>
      <c r="K169" s="36"/>
      <c r="L169" s="36">
        <v>43296</v>
      </c>
      <c r="M169" s="37" t="s">
        <v>153</v>
      </c>
      <c r="N169" s="37" t="s">
        <v>474</v>
      </c>
      <c r="O169" s="38" t="s">
        <v>457</v>
      </c>
      <c r="P169" s="38" t="s">
        <v>711</v>
      </c>
      <c r="Q169" s="37" t="s">
        <v>209</v>
      </c>
      <c r="R169" s="36">
        <v>34754</v>
      </c>
      <c r="S169" s="37" t="s">
        <v>275</v>
      </c>
      <c r="T169" s="36">
        <v>34547</v>
      </c>
      <c r="U169" s="37"/>
      <c r="V169" s="36"/>
      <c r="W169" s="37"/>
      <c r="X169" s="36"/>
      <c r="Y169" s="37"/>
      <c r="Z169" s="37"/>
      <c r="AA169" s="36"/>
      <c r="AB169" s="37"/>
      <c r="AC169" s="39">
        <v>267</v>
      </c>
      <c r="AD169" s="38" t="str">
        <f t="shared" si="6"/>
        <v>22년 3개월</v>
      </c>
      <c r="AE169" s="39">
        <f ca="1">(재직자!$AL$1-J169)/30</f>
        <v>103.2</v>
      </c>
      <c r="AF169" s="39" t="str">
        <f t="shared" ca="1" si="7"/>
        <v>8년 7개월</v>
      </c>
      <c r="AG169" s="39">
        <f t="shared" ca="1" si="8"/>
        <v>370.2</v>
      </c>
      <c r="AH169" s="39" t="str">
        <f t="shared" ca="1" si="9"/>
        <v>30년 10개월</v>
      </c>
      <c r="AI169" s="43" t="s">
        <v>1470</v>
      </c>
      <c r="AJ169" s="33" t="s">
        <v>1471</v>
      </c>
      <c r="AK169" s="62" t="s">
        <v>1472</v>
      </c>
      <c r="AL169" s="37"/>
      <c r="AM169" s="37" t="s">
        <v>1473</v>
      </c>
      <c r="AN169" s="54" t="s">
        <v>1407</v>
      </c>
      <c r="AO169" s="32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</row>
    <row r="170" spans="1:54" ht="15" customHeight="1">
      <c r="A170" s="33" t="s">
        <v>137</v>
      </c>
      <c r="B170" s="33" t="s">
        <v>1474</v>
      </c>
      <c r="C170" s="33" t="s">
        <v>193</v>
      </c>
      <c r="D170" s="34" t="s">
        <v>1475</v>
      </c>
      <c r="E170" s="34" t="s">
        <v>228</v>
      </c>
      <c r="F170" s="38" t="s">
        <v>1476</v>
      </c>
      <c r="G170" s="34" t="s">
        <v>61</v>
      </c>
      <c r="H170" s="34" t="s">
        <v>1232</v>
      </c>
      <c r="I170" s="35" t="s">
        <v>1477</v>
      </c>
      <c r="J170" s="36">
        <v>40707</v>
      </c>
      <c r="K170" s="36">
        <v>42736</v>
      </c>
      <c r="L170" s="36">
        <v>43301</v>
      </c>
      <c r="M170" s="37" t="s">
        <v>448</v>
      </c>
      <c r="N170" s="37"/>
      <c r="O170" s="38"/>
      <c r="P170" s="38"/>
      <c r="Q170" s="37" t="s">
        <v>448</v>
      </c>
      <c r="R170" s="36"/>
      <c r="S170" s="37"/>
      <c r="T170" s="37"/>
      <c r="U170" s="37"/>
      <c r="V170" s="37"/>
      <c r="W170" s="37"/>
      <c r="X170" s="37"/>
      <c r="Y170" s="37" t="s">
        <v>230</v>
      </c>
      <c r="Z170" s="37"/>
      <c r="AA170" s="36"/>
      <c r="AB170" s="37"/>
      <c r="AC170" s="39">
        <v>123</v>
      </c>
      <c r="AD170" s="38" t="str">
        <f t="shared" ref="AD170:AD233" si="10">(TRUNC(AC170/12))&amp;"년 "&amp;(ROUNDDOWN(MOD(AC170,12),0))&amp;"개월"</f>
        <v>10년 3개월</v>
      </c>
      <c r="AE170" s="39">
        <f ca="1">(재직자!$AL$1-J170)/30</f>
        <v>180.23333333333332</v>
      </c>
      <c r="AF170" s="39" t="str">
        <f t="shared" ref="AF170:AF233" ca="1" si="11">(TRUNC(AE170/12))&amp;"년 "&amp;(ROUNDDOWN(MOD(AE170,12),0))&amp;"개월"</f>
        <v>15년 0개월</v>
      </c>
      <c r="AG170" s="39">
        <f t="shared" ref="AG170:AG233" ca="1" si="12">+AC170+AE170</f>
        <v>303.23333333333335</v>
      </c>
      <c r="AH170" s="39" t="str">
        <f t="shared" ref="AH170:AH233" ca="1" si="13">(TRUNC(AG170/12))&amp;"년 "&amp;(ROUNDDOWN(MOD(AG170,12),0))&amp;"개월"</f>
        <v>25년 3개월</v>
      </c>
      <c r="AI170" s="43" t="s">
        <v>1478</v>
      </c>
      <c r="AJ170" s="33" t="s">
        <v>1479</v>
      </c>
      <c r="AK170" s="50" t="s">
        <v>1480</v>
      </c>
      <c r="AL170" s="37">
        <v>2607</v>
      </c>
      <c r="AM170" s="37" t="s">
        <v>1481</v>
      </c>
      <c r="AN170" s="54" t="s">
        <v>1482</v>
      </c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</row>
    <row r="171" spans="1:54" ht="15" customHeight="1">
      <c r="A171" s="33" t="s">
        <v>183</v>
      </c>
      <c r="B171" s="37">
        <v>130502</v>
      </c>
      <c r="C171" s="37" t="s">
        <v>193</v>
      </c>
      <c r="D171" s="34" t="s">
        <v>1483</v>
      </c>
      <c r="E171" s="37" t="s">
        <v>88</v>
      </c>
      <c r="F171" s="38" t="s">
        <v>1484</v>
      </c>
      <c r="G171" s="34" t="s">
        <v>61</v>
      </c>
      <c r="H171" s="34" t="s">
        <v>1279</v>
      </c>
      <c r="I171" s="37" t="s">
        <v>1485</v>
      </c>
      <c r="J171" s="36">
        <v>41421</v>
      </c>
      <c r="K171" s="36"/>
      <c r="L171" s="36">
        <v>43301</v>
      </c>
      <c r="M171" s="37" t="s">
        <v>153</v>
      </c>
      <c r="N171" s="37" t="s">
        <v>1486</v>
      </c>
      <c r="O171" s="37" t="s">
        <v>617</v>
      </c>
      <c r="P171" s="37" t="s">
        <v>964</v>
      </c>
      <c r="Q171" s="37" t="s">
        <v>209</v>
      </c>
      <c r="R171" s="36">
        <v>38765</v>
      </c>
      <c r="S171" s="37"/>
      <c r="T171" s="37"/>
      <c r="U171" s="37"/>
      <c r="V171" s="37"/>
      <c r="W171" s="37"/>
      <c r="X171" s="37"/>
      <c r="Y171" s="37" t="s">
        <v>276</v>
      </c>
      <c r="Z171" s="37"/>
      <c r="AA171" s="37"/>
      <c r="AB171" s="37"/>
      <c r="AC171" s="39">
        <v>84</v>
      </c>
      <c r="AD171" s="37" t="str">
        <f t="shared" si="10"/>
        <v>7년 0개월</v>
      </c>
      <c r="AE171" s="39">
        <f ca="1">(재직자!$AL$1-J171)/30</f>
        <v>156.43333333333334</v>
      </c>
      <c r="AF171" s="37" t="str">
        <f t="shared" ca="1" si="11"/>
        <v>13년 0개월</v>
      </c>
      <c r="AG171" s="39">
        <f t="shared" ca="1" si="12"/>
        <v>240.43333333333334</v>
      </c>
      <c r="AH171" s="37" t="str">
        <f t="shared" ca="1" si="13"/>
        <v>20년 0개월</v>
      </c>
      <c r="AI171" s="44" t="s">
        <v>1487</v>
      </c>
      <c r="AJ171" s="37" t="s">
        <v>1488</v>
      </c>
      <c r="AK171" s="50" t="s">
        <v>1489</v>
      </c>
      <c r="AL171" s="37">
        <v>2613</v>
      </c>
      <c r="AM171" s="37" t="s">
        <v>1490</v>
      </c>
      <c r="AN171" s="54" t="s">
        <v>1491</v>
      </c>
      <c r="AO171" s="9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</row>
    <row r="172" spans="1:54" ht="16.5" customHeight="1">
      <c r="A172" s="33" t="s">
        <v>1314</v>
      </c>
      <c r="B172" s="33" t="s">
        <v>1492</v>
      </c>
      <c r="C172" s="33" t="s">
        <v>924</v>
      </c>
      <c r="D172" s="34" t="s">
        <v>1493</v>
      </c>
      <c r="E172" s="34" t="s">
        <v>139</v>
      </c>
      <c r="F172" s="34" t="s">
        <v>1494</v>
      </c>
      <c r="G172" s="34" t="s">
        <v>61</v>
      </c>
      <c r="H172" s="34" t="s">
        <v>1232</v>
      </c>
      <c r="I172" s="35" t="s">
        <v>1495</v>
      </c>
      <c r="J172" s="36">
        <v>42702</v>
      </c>
      <c r="K172" s="36"/>
      <c r="L172" s="36">
        <v>43312</v>
      </c>
      <c r="M172" s="37" t="s">
        <v>196</v>
      </c>
      <c r="N172" s="37" t="s">
        <v>1496</v>
      </c>
      <c r="O172" s="38" t="s">
        <v>627</v>
      </c>
      <c r="P172" s="38" t="s">
        <v>1414</v>
      </c>
      <c r="Q172" s="37" t="s">
        <v>198</v>
      </c>
      <c r="R172" s="36">
        <v>34020</v>
      </c>
      <c r="S172" s="37"/>
      <c r="T172" s="36"/>
      <c r="U172" s="37"/>
      <c r="V172" s="36"/>
      <c r="W172" s="37"/>
      <c r="X172" s="36"/>
      <c r="Y172" s="37" t="s">
        <v>199</v>
      </c>
      <c r="Z172" s="37"/>
      <c r="AA172" s="36"/>
      <c r="AB172" s="37"/>
      <c r="AC172" s="39">
        <v>215</v>
      </c>
      <c r="AD172" s="38" t="str">
        <f t="shared" si="10"/>
        <v>17년 11개월</v>
      </c>
      <c r="AE172" s="39">
        <f ca="1">(재직자!$AL$1-J172)/30</f>
        <v>113.73333333333333</v>
      </c>
      <c r="AF172" s="39" t="str">
        <f t="shared" ca="1" si="11"/>
        <v>9년 5개월</v>
      </c>
      <c r="AG172" s="39">
        <f t="shared" ca="1" si="12"/>
        <v>328.73333333333335</v>
      </c>
      <c r="AH172" s="39" t="str">
        <f t="shared" ca="1" si="13"/>
        <v>27년 4개월</v>
      </c>
      <c r="AI172" s="43" t="s">
        <v>1497</v>
      </c>
      <c r="AJ172" s="33" t="s">
        <v>1498</v>
      </c>
      <c r="AK172" s="62" t="s">
        <v>1499</v>
      </c>
      <c r="AL172" s="37"/>
      <c r="AM172" s="37" t="s">
        <v>1500</v>
      </c>
      <c r="AN172" s="54" t="s">
        <v>1501</v>
      </c>
      <c r="AO172" s="32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</row>
    <row r="173" spans="1:54" ht="16.5" customHeight="1">
      <c r="A173" s="33" t="s">
        <v>425</v>
      </c>
      <c r="B173" s="33" t="s">
        <v>1502</v>
      </c>
      <c r="C173" s="33" t="s">
        <v>193</v>
      </c>
      <c r="D173" s="34" t="s">
        <v>538</v>
      </c>
      <c r="E173" s="34" t="s">
        <v>228</v>
      </c>
      <c r="F173" s="34" t="s">
        <v>1503</v>
      </c>
      <c r="G173" s="34" t="s">
        <v>856</v>
      </c>
      <c r="H173" s="34"/>
      <c r="I173" s="35" t="s">
        <v>540</v>
      </c>
      <c r="J173" s="36">
        <v>42522</v>
      </c>
      <c r="K173" s="36"/>
      <c r="L173" s="36">
        <v>43312</v>
      </c>
      <c r="M173" s="37" t="s">
        <v>153</v>
      </c>
      <c r="N173" s="37" t="s">
        <v>541</v>
      </c>
      <c r="O173" s="38" t="s">
        <v>542</v>
      </c>
      <c r="P173" s="38" t="s">
        <v>1504</v>
      </c>
      <c r="Q173" s="37" t="s">
        <v>209</v>
      </c>
      <c r="R173" s="36">
        <v>34752</v>
      </c>
      <c r="S173" s="37"/>
      <c r="T173" s="36"/>
      <c r="U173" s="37"/>
      <c r="V173" s="36"/>
      <c r="W173" s="37"/>
      <c r="X173" s="36"/>
      <c r="Y173" s="37" t="s">
        <v>199</v>
      </c>
      <c r="Z173" s="37"/>
      <c r="AA173" s="36"/>
      <c r="AB173" s="37"/>
      <c r="AC173" s="39"/>
      <c r="AD173" s="38" t="str">
        <f t="shared" si="10"/>
        <v>0년 0개월</v>
      </c>
      <c r="AE173" s="39">
        <f ca="1">(재직자!$AL$1-J173)/30</f>
        <v>119.73333333333333</v>
      </c>
      <c r="AF173" s="39" t="str">
        <f t="shared" ca="1" si="11"/>
        <v>9년 11개월</v>
      </c>
      <c r="AG173" s="39">
        <f t="shared" ca="1" si="12"/>
        <v>119.73333333333333</v>
      </c>
      <c r="AH173" s="39" t="str">
        <f t="shared" ca="1" si="13"/>
        <v>9년 11개월</v>
      </c>
      <c r="AI173" s="43" t="s">
        <v>1505</v>
      </c>
      <c r="AJ173" s="33" t="s">
        <v>545</v>
      </c>
      <c r="AK173" s="62" t="s">
        <v>546</v>
      </c>
      <c r="AL173" s="37"/>
      <c r="AM173" s="37"/>
      <c r="AN173" s="54"/>
      <c r="AO173" s="32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</row>
    <row r="174" spans="1:54" ht="15" customHeight="1">
      <c r="A174" s="33" t="s">
        <v>109</v>
      </c>
      <c r="B174" s="33" t="s">
        <v>1506</v>
      </c>
      <c r="C174" s="33" t="s">
        <v>193</v>
      </c>
      <c r="D174" s="34" t="s">
        <v>1507</v>
      </c>
      <c r="E174" s="34" t="s">
        <v>228</v>
      </c>
      <c r="F174" s="38" t="s">
        <v>1508</v>
      </c>
      <c r="G174" s="34" t="s">
        <v>61</v>
      </c>
      <c r="H174" s="34" t="s">
        <v>1232</v>
      </c>
      <c r="I174" s="35" t="s">
        <v>1509</v>
      </c>
      <c r="J174" s="36">
        <v>40528</v>
      </c>
      <c r="K174" s="36">
        <v>42917</v>
      </c>
      <c r="L174" s="36">
        <v>43311</v>
      </c>
      <c r="M174" s="37" t="s">
        <v>153</v>
      </c>
      <c r="N174" s="37" t="s">
        <v>1510</v>
      </c>
      <c r="O174" s="38" t="s">
        <v>457</v>
      </c>
      <c r="P174" s="38"/>
      <c r="Q174" s="37" t="s">
        <v>209</v>
      </c>
      <c r="R174" s="36">
        <v>36392</v>
      </c>
      <c r="S174" s="37"/>
      <c r="T174" s="37"/>
      <c r="U174" s="37"/>
      <c r="V174" s="37"/>
      <c r="W174" s="37"/>
      <c r="X174" s="37"/>
      <c r="Y174" s="37" t="s">
        <v>199</v>
      </c>
      <c r="Z174" s="37" t="s">
        <v>211</v>
      </c>
      <c r="AA174" s="36">
        <v>40753</v>
      </c>
      <c r="AB174" s="37" t="s">
        <v>230</v>
      </c>
      <c r="AC174" s="39">
        <v>132</v>
      </c>
      <c r="AD174" s="38" t="str">
        <f t="shared" si="10"/>
        <v>11년 0개월</v>
      </c>
      <c r="AE174" s="39">
        <f ca="1">(재직자!$AL$1-J174)/30</f>
        <v>186.2</v>
      </c>
      <c r="AF174" s="39" t="str">
        <f t="shared" ca="1" si="11"/>
        <v>15년 6개월</v>
      </c>
      <c r="AG174" s="39">
        <f t="shared" ca="1" si="12"/>
        <v>318.2</v>
      </c>
      <c r="AH174" s="39" t="str">
        <f t="shared" ca="1" si="13"/>
        <v>26년 6개월</v>
      </c>
      <c r="AI174" s="43" t="s">
        <v>1511</v>
      </c>
      <c r="AJ174" s="33" t="s">
        <v>1512</v>
      </c>
      <c r="AK174" s="50" t="s">
        <v>1513</v>
      </c>
      <c r="AL174" s="37"/>
      <c r="AM174" s="37" t="s">
        <v>1514</v>
      </c>
      <c r="AN174" s="54" t="s">
        <v>727</v>
      </c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</row>
    <row r="175" spans="1:54" ht="15" customHeight="1">
      <c r="A175" s="33" t="s">
        <v>633</v>
      </c>
      <c r="B175" s="33" t="s">
        <v>1515</v>
      </c>
      <c r="C175" s="33" t="s">
        <v>226</v>
      </c>
      <c r="D175" s="34" t="s">
        <v>1516</v>
      </c>
      <c r="E175" s="34" t="s">
        <v>228</v>
      </c>
      <c r="F175" s="38"/>
      <c r="G175" s="34" t="s">
        <v>880</v>
      </c>
      <c r="H175" s="34"/>
      <c r="I175" s="35" t="s">
        <v>1517</v>
      </c>
      <c r="J175" s="36">
        <v>43221</v>
      </c>
      <c r="K175" s="36"/>
      <c r="L175" s="36">
        <v>43312</v>
      </c>
      <c r="M175" s="37" t="s">
        <v>153</v>
      </c>
      <c r="N175" s="37" t="s">
        <v>973</v>
      </c>
      <c r="O175" s="38" t="s">
        <v>1518</v>
      </c>
      <c r="P175" s="38" t="s">
        <v>711</v>
      </c>
      <c r="Q175" s="37" t="s">
        <v>209</v>
      </c>
      <c r="R175" s="36">
        <v>36578</v>
      </c>
      <c r="S175" s="37"/>
      <c r="T175" s="37"/>
      <c r="U175" s="37"/>
      <c r="V175" s="37"/>
      <c r="W175" s="37"/>
      <c r="X175" s="37"/>
      <c r="Y175" s="37" t="s">
        <v>199</v>
      </c>
      <c r="Z175" s="37"/>
      <c r="AA175" s="36"/>
      <c r="AB175" s="37"/>
      <c r="AC175" s="39">
        <v>143</v>
      </c>
      <c r="AD175" s="38" t="str">
        <f t="shared" si="10"/>
        <v>11년 11개월</v>
      </c>
      <c r="AE175" s="39">
        <f ca="1">(재직자!$AL$1-J175)/30</f>
        <v>96.433333333333337</v>
      </c>
      <c r="AF175" s="39" t="str">
        <f t="shared" ca="1" si="11"/>
        <v>8년 0개월</v>
      </c>
      <c r="AG175" s="39">
        <f t="shared" ca="1" si="12"/>
        <v>239.43333333333334</v>
      </c>
      <c r="AH175" s="39" t="str">
        <f t="shared" ca="1" si="13"/>
        <v>19년 11개월</v>
      </c>
      <c r="AI175" s="43" t="s">
        <v>1519</v>
      </c>
      <c r="AJ175" s="33" t="s">
        <v>1520</v>
      </c>
      <c r="AK175" s="44" t="s">
        <v>1521</v>
      </c>
      <c r="AL175" s="37"/>
      <c r="AM175" s="37" t="s">
        <v>1522</v>
      </c>
      <c r="AN175" s="54" t="s">
        <v>1523</v>
      </c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</row>
    <row r="176" spans="1:54" ht="15" customHeight="1">
      <c r="A176" s="33" t="s">
        <v>623</v>
      </c>
      <c r="B176" s="33" t="s">
        <v>1524</v>
      </c>
      <c r="C176" s="33" t="s">
        <v>193</v>
      </c>
      <c r="D176" s="34" t="s">
        <v>1525</v>
      </c>
      <c r="E176" s="34" t="s">
        <v>44</v>
      </c>
      <c r="F176" s="38" t="s">
        <v>1526</v>
      </c>
      <c r="G176" s="34" t="s">
        <v>880</v>
      </c>
      <c r="H176" s="34"/>
      <c r="I176" s="35" t="s">
        <v>1527</v>
      </c>
      <c r="J176" s="36">
        <v>43292</v>
      </c>
      <c r="K176" s="36"/>
      <c r="L176" s="36">
        <v>43321</v>
      </c>
      <c r="M176" s="37" t="s">
        <v>153</v>
      </c>
      <c r="N176" s="37" t="s">
        <v>1528</v>
      </c>
      <c r="O176" s="38" t="s">
        <v>1529</v>
      </c>
      <c r="P176" s="38" t="s">
        <v>964</v>
      </c>
      <c r="Q176" s="37" t="s">
        <v>209</v>
      </c>
      <c r="R176" s="36">
        <v>42047</v>
      </c>
      <c r="S176" s="37"/>
      <c r="T176" s="37"/>
      <c r="U176" s="37"/>
      <c r="V176" s="37"/>
      <c r="W176" s="37"/>
      <c r="X176" s="37"/>
      <c r="Y176" s="37" t="s">
        <v>210</v>
      </c>
      <c r="Z176" s="37"/>
      <c r="AA176" s="36"/>
      <c r="AB176" s="37"/>
      <c r="AC176" s="39">
        <v>59</v>
      </c>
      <c r="AD176" s="38" t="str">
        <f t="shared" si="10"/>
        <v>4년 11개월</v>
      </c>
      <c r="AE176" s="39">
        <f ca="1">(재직자!$AL$1-J176)/30</f>
        <v>94.066666666666663</v>
      </c>
      <c r="AF176" s="39" t="str">
        <f t="shared" ca="1" si="11"/>
        <v>7년 10개월</v>
      </c>
      <c r="AG176" s="39">
        <f t="shared" ca="1" si="12"/>
        <v>153.06666666666666</v>
      </c>
      <c r="AH176" s="39" t="str">
        <f t="shared" ca="1" si="13"/>
        <v>12년 9개월</v>
      </c>
      <c r="AI176" s="43" t="s">
        <v>1530</v>
      </c>
      <c r="AJ176" s="33" t="s">
        <v>1531</v>
      </c>
      <c r="AK176" s="50" t="s">
        <v>1532</v>
      </c>
      <c r="AL176" s="37"/>
      <c r="AM176" s="37" t="s">
        <v>1533</v>
      </c>
      <c r="AN176" s="54" t="s">
        <v>1534</v>
      </c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</row>
    <row r="177" spans="1:54" ht="16.5" customHeight="1">
      <c r="A177" s="33" t="s">
        <v>1360</v>
      </c>
      <c r="B177" s="33" t="s">
        <v>1535</v>
      </c>
      <c r="C177" s="33" t="s">
        <v>924</v>
      </c>
      <c r="D177" s="34" t="s">
        <v>1536</v>
      </c>
      <c r="E177" s="34" t="s">
        <v>34</v>
      </c>
      <c r="F177" s="34" t="s">
        <v>1537</v>
      </c>
      <c r="G177" s="34" t="s">
        <v>880</v>
      </c>
      <c r="H177" s="34"/>
      <c r="I177" s="35" t="s">
        <v>1538</v>
      </c>
      <c r="J177" s="36">
        <v>42681</v>
      </c>
      <c r="K177" s="36"/>
      <c r="L177" s="36">
        <v>43329</v>
      </c>
      <c r="M177" s="37" t="s">
        <v>196</v>
      </c>
      <c r="N177" s="37" t="s">
        <v>905</v>
      </c>
      <c r="O177" s="38" t="s">
        <v>297</v>
      </c>
      <c r="P177" s="38" t="s">
        <v>711</v>
      </c>
      <c r="Q177" s="37" t="s">
        <v>198</v>
      </c>
      <c r="R177" s="36">
        <v>39318</v>
      </c>
      <c r="S177" s="37"/>
      <c r="T177" s="36"/>
      <c r="U177" s="37"/>
      <c r="V177" s="36"/>
      <c r="W177" s="37"/>
      <c r="X177" s="36"/>
      <c r="Y177" s="37" t="s">
        <v>199</v>
      </c>
      <c r="Z177" s="37"/>
      <c r="AA177" s="36"/>
      <c r="AB177" s="37"/>
      <c r="AC177" s="39">
        <v>177</v>
      </c>
      <c r="AD177" s="38" t="str">
        <f t="shared" si="10"/>
        <v>14년 9개월</v>
      </c>
      <c r="AE177" s="39">
        <f ca="1">(재직자!$AL$1-J177)/30</f>
        <v>114.43333333333334</v>
      </c>
      <c r="AF177" s="39" t="str">
        <f t="shared" ca="1" si="11"/>
        <v>9년 6개월</v>
      </c>
      <c r="AG177" s="39">
        <f t="shared" ca="1" si="12"/>
        <v>291.43333333333334</v>
      </c>
      <c r="AH177" s="39" t="str">
        <f t="shared" ca="1" si="13"/>
        <v>24년 3개월</v>
      </c>
      <c r="AI177" s="43" t="s">
        <v>1539</v>
      </c>
      <c r="AJ177" s="33" t="s">
        <v>1540</v>
      </c>
      <c r="AK177" s="62" t="s">
        <v>1541</v>
      </c>
      <c r="AL177" s="37"/>
      <c r="AM177" s="37" t="s">
        <v>1542</v>
      </c>
      <c r="AN177" s="54" t="s">
        <v>1543</v>
      </c>
      <c r="AO177" s="32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</row>
    <row r="178" spans="1:54" ht="16.5" customHeight="1">
      <c r="A178" s="33" t="s">
        <v>520</v>
      </c>
      <c r="B178" s="33" t="s">
        <v>1544</v>
      </c>
      <c r="C178" s="33" t="s">
        <v>226</v>
      </c>
      <c r="D178" s="34" t="s">
        <v>1545</v>
      </c>
      <c r="E178" s="34" t="s">
        <v>88</v>
      </c>
      <c r="F178" s="34"/>
      <c r="G178" s="34" t="s">
        <v>771</v>
      </c>
      <c r="H178" s="34"/>
      <c r="I178" s="35" t="s">
        <v>1546</v>
      </c>
      <c r="J178" s="36">
        <v>42394</v>
      </c>
      <c r="K178" s="36"/>
      <c r="L178" s="36">
        <v>43361</v>
      </c>
      <c r="M178" s="37" t="s">
        <v>153</v>
      </c>
      <c r="N178" s="37" t="s">
        <v>584</v>
      </c>
      <c r="O178" s="38" t="s">
        <v>1271</v>
      </c>
      <c r="P178" s="38" t="s">
        <v>1414</v>
      </c>
      <c r="Q178" s="37" t="s">
        <v>209</v>
      </c>
      <c r="R178" s="36"/>
      <c r="S178" s="37"/>
      <c r="T178" s="36"/>
      <c r="U178" s="37"/>
      <c r="V178" s="37"/>
      <c r="W178" s="37"/>
      <c r="X178" s="37"/>
      <c r="Y178" s="37"/>
      <c r="Z178" s="37"/>
      <c r="AA178" s="36"/>
      <c r="AB178" s="37"/>
      <c r="AC178" s="39">
        <v>93</v>
      </c>
      <c r="AD178" s="38" t="str">
        <f t="shared" si="10"/>
        <v>7년 9개월</v>
      </c>
      <c r="AE178" s="39">
        <f ca="1">(재직자!$AL$1-J178)/30</f>
        <v>124</v>
      </c>
      <c r="AF178" s="39" t="str">
        <f t="shared" ca="1" si="11"/>
        <v>10년 4개월</v>
      </c>
      <c r="AG178" s="39">
        <f t="shared" ca="1" si="12"/>
        <v>217</v>
      </c>
      <c r="AH178" s="39" t="str">
        <f t="shared" ca="1" si="13"/>
        <v>18년 1개월</v>
      </c>
      <c r="AI178" s="43" t="s">
        <v>1547</v>
      </c>
      <c r="AJ178" s="33" t="s">
        <v>1548</v>
      </c>
      <c r="AK178" s="62" t="s">
        <v>1549</v>
      </c>
      <c r="AL178" s="37"/>
      <c r="AM178" s="37" t="s">
        <v>1550</v>
      </c>
      <c r="AN178" s="54" t="s">
        <v>1551</v>
      </c>
      <c r="AO178" s="32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</row>
    <row r="179" spans="1:54" ht="16.5" customHeight="1">
      <c r="A179" s="33" t="s">
        <v>452</v>
      </c>
      <c r="B179" s="33" t="s">
        <v>1552</v>
      </c>
      <c r="C179" s="33" t="s">
        <v>226</v>
      </c>
      <c r="D179" s="34" t="s">
        <v>1553</v>
      </c>
      <c r="E179" s="34" t="s">
        <v>44</v>
      </c>
      <c r="F179" s="34" t="s">
        <v>1554</v>
      </c>
      <c r="G179" s="34" t="s">
        <v>120</v>
      </c>
      <c r="H179" s="34"/>
      <c r="I179" s="35" t="s">
        <v>1555</v>
      </c>
      <c r="J179" s="36">
        <v>43164</v>
      </c>
      <c r="K179" s="36"/>
      <c r="L179" s="36">
        <v>43377</v>
      </c>
      <c r="M179" s="37" t="s">
        <v>153</v>
      </c>
      <c r="N179" s="37" t="s">
        <v>1132</v>
      </c>
      <c r="O179" s="38" t="s">
        <v>457</v>
      </c>
      <c r="P179" s="38" t="s">
        <v>964</v>
      </c>
      <c r="Q179" s="37" t="s">
        <v>209</v>
      </c>
      <c r="R179" s="36">
        <v>40955</v>
      </c>
      <c r="S179" s="37" t="s">
        <v>569</v>
      </c>
      <c r="T179" s="36">
        <v>36444</v>
      </c>
      <c r="U179" s="37"/>
      <c r="V179" s="36"/>
      <c r="W179" s="37"/>
      <c r="X179" s="36"/>
      <c r="Y179" s="37"/>
      <c r="Z179" s="37"/>
      <c r="AA179" s="36"/>
      <c r="AB179" s="37"/>
      <c r="AC179" s="39">
        <v>35</v>
      </c>
      <c r="AD179" s="38" t="str">
        <f t="shared" si="10"/>
        <v>2년 11개월</v>
      </c>
      <c r="AE179" s="39">
        <f ca="1">(재직자!$AL$1-J179)/30</f>
        <v>98.333333333333329</v>
      </c>
      <c r="AF179" s="39" t="str">
        <f t="shared" ca="1" si="11"/>
        <v>8년 2개월</v>
      </c>
      <c r="AG179" s="39">
        <f t="shared" ca="1" si="12"/>
        <v>133.33333333333331</v>
      </c>
      <c r="AH179" s="39" t="str">
        <f t="shared" ca="1" si="13"/>
        <v>11년 1개월</v>
      </c>
      <c r="AI179" s="43" t="s">
        <v>1556</v>
      </c>
      <c r="AJ179" s="33" t="s">
        <v>1557</v>
      </c>
      <c r="AK179" s="62" t="s">
        <v>1558</v>
      </c>
      <c r="AL179" s="37"/>
      <c r="AM179" s="37" t="s">
        <v>1559</v>
      </c>
      <c r="AN179" s="54" t="s">
        <v>1560</v>
      </c>
      <c r="AO179" s="32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</row>
    <row r="180" spans="1:54" ht="16.5" customHeight="1">
      <c r="A180" s="33" t="s">
        <v>1360</v>
      </c>
      <c r="B180" s="33" t="s">
        <v>1561</v>
      </c>
      <c r="C180" s="33" t="s">
        <v>193</v>
      </c>
      <c r="D180" s="34" t="s">
        <v>1562</v>
      </c>
      <c r="E180" s="34" t="s">
        <v>34</v>
      </c>
      <c r="F180" s="34" t="s">
        <v>1563</v>
      </c>
      <c r="G180" s="34" t="s">
        <v>61</v>
      </c>
      <c r="H180" s="34" t="s">
        <v>1232</v>
      </c>
      <c r="I180" s="35" t="s">
        <v>1564</v>
      </c>
      <c r="J180" s="36">
        <v>42779</v>
      </c>
      <c r="K180" s="36"/>
      <c r="L180" s="36">
        <v>43378</v>
      </c>
      <c r="M180" s="37" t="s">
        <v>153</v>
      </c>
      <c r="N180" s="37" t="s">
        <v>1565</v>
      </c>
      <c r="O180" s="38" t="s">
        <v>1566</v>
      </c>
      <c r="P180" s="38" t="s">
        <v>964</v>
      </c>
      <c r="Q180" s="37" t="s">
        <v>209</v>
      </c>
      <c r="R180" s="36">
        <v>38765</v>
      </c>
      <c r="S180" s="37" t="s">
        <v>275</v>
      </c>
      <c r="T180" s="36">
        <v>42566</v>
      </c>
      <c r="U180" s="37"/>
      <c r="V180" s="36"/>
      <c r="W180" s="37"/>
      <c r="X180" s="36"/>
      <c r="Y180" s="37" t="s">
        <v>230</v>
      </c>
      <c r="Z180" s="37"/>
      <c r="AA180" s="36"/>
      <c r="AB180" s="37"/>
      <c r="AC180" s="39">
        <v>132</v>
      </c>
      <c r="AD180" s="38" t="str">
        <f t="shared" si="10"/>
        <v>11년 0개월</v>
      </c>
      <c r="AE180" s="39">
        <f ca="1">(재직자!$AL$1-J180)/30</f>
        <v>111.16666666666667</v>
      </c>
      <c r="AF180" s="39" t="str">
        <f t="shared" ca="1" si="11"/>
        <v>9년 3개월</v>
      </c>
      <c r="AG180" s="39">
        <f t="shared" ca="1" si="12"/>
        <v>243.16666666666669</v>
      </c>
      <c r="AH180" s="39" t="str">
        <f t="shared" ca="1" si="13"/>
        <v>20년 3개월</v>
      </c>
      <c r="AI180" s="43" t="s">
        <v>1567</v>
      </c>
      <c r="AJ180" s="33" t="s">
        <v>1568</v>
      </c>
      <c r="AK180" s="62" t="s">
        <v>1569</v>
      </c>
      <c r="AL180" s="37"/>
      <c r="AM180" s="37" t="s">
        <v>1570</v>
      </c>
      <c r="AN180" s="54" t="s">
        <v>1571</v>
      </c>
      <c r="AO180" s="32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</row>
    <row r="181" spans="1:54" ht="16.5" customHeight="1">
      <c r="A181" s="33" t="s">
        <v>444</v>
      </c>
      <c r="B181" s="33" t="s">
        <v>1572</v>
      </c>
      <c r="C181" s="33" t="s">
        <v>193</v>
      </c>
      <c r="D181" s="34" t="s">
        <v>1573</v>
      </c>
      <c r="E181" s="34" t="s">
        <v>88</v>
      </c>
      <c r="F181" s="34" t="s">
        <v>1574</v>
      </c>
      <c r="G181" s="34" t="s">
        <v>61</v>
      </c>
      <c r="H181" s="34" t="s">
        <v>1232</v>
      </c>
      <c r="I181" s="35" t="s">
        <v>1575</v>
      </c>
      <c r="J181" s="36">
        <v>42842</v>
      </c>
      <c r="K181" s="36"/>
      <c r="L181" s="36">
        <v>43392</v>
      </c>
      <c r="M181" s="37" t="s">
        <v>448</v>
      </c>
      <c r="N181" s="37" t="s">
        <v>1576</v>
      </c>
      <c r="O181" s="38"/>
      <c r="P181" s="38" t="s">
        <v>1414</v>
      </c>
      <c r="Q181" s="37" t="s">
        <v>448</v>
      </c>
      <c r="R181" s="36">
        <v>36567</v>
      </c>
      <c r="S181" s="37" t="s">
        <v>275</v>
      </c>
      <c r="T181" s="36">
        <v>40704</v>
      </c>
      <c r="U181" s="37"/>
      <c r="V181" s="36"/>
      <c r="W181" s="37"/>
      <c r="X181" s="36"/>
      <c r="Y181" s="37"/>
      <c r="Z181" s="37"/>
      <c r="AA181" s="36"/>
      <c r="AB181" s="37"/>
      <c r="AC181" s="39">
        <v>94</v>
      </c>
      <c r="AD181" s="38" t="str">
        <f t="shared" si="10"/>
        <v>7년 10개월</v>
      </c>
      <c r="AE181" s="39">
        <f ca="1">(재직자!$AL$1-J181)/30</f>
        <v>109.06666666666666</v>
      </c>
      <c r="AF181" s="39" t="str">
        <f t="shared" ca="1" si="11"/>
        <v>9년 1개월</v>
      </c>
      <c r="AG181" s="39">
        <f t="shared" ca="1" si="12"/>
        <v>203.06666666666666</v>
      </c>
      <c r="AH181" s="39" t="str">
        <f t="shared" ca="1" si="13"/>
        <v>16년 11개월</v>
      </c>
      <c r="AI181" s="43" t="s">
        <v>1577</v>
      </c>
      <c r="AJ181" s="33" t="s">
        <v>1578</v>
      </c>
      <c r="AK181" s="62" t="s">
        <v>1579</v>
      </c>
      <c r="AL181" s="37"/>
      <c r="AM181" s="37" t="s">
        <v>1580</v>
      </c>
      <c r="AN181" s="54" t="s">
        <v>1581</v>
      </c>
      <c r="AO181" s="32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</row>
    <row r="182" spans="1:54" ht="16.5" customHeight="1">
      <c r="A182" s="33" t="s">
        <v>425</v>
      </c>
      <c r="B182" s="33" t="s">
        <v>1582</v>
      </c>
      <c r="C182" s="33" t="s">
        <v>193</v>
      </c>
      <c r="D182" s="34" t="s">
        <v>1583</v>
      </c>
      <c r="E182" s="34" t="s">
        <v>44</v>
      </c>
      <c r="F182" s="34" t="s">
        <v>1584</v>
      </c>
      <c r="G182" s="34" t="s">
        <v>61</v>
      </c>
      <c r="H182" s="34" t="s">
        <v>1232</v>
      </c>
      <c r="I182" s="35" t="s">
        <v>1585</v>
      </c>
      <c r="J182" s="36">
        <v>42767</v>
      </c>
      <c r="K182" s="36"/>
      <c r="L182" s="36">
        <v>43396</v>
      </c>
      <c r="M182" s="37" t="s">
        <v>153</v>
      </c>
      <c r="N182" s="37" t="s">
        <v>483</v>
      </c>
      <c r="O182" s="38" t="s">
        <v>1586</v>
      </c>
      <c r="P182" s="38" t="s">
        <v>721</v>
      </c>
      <c r="Q182" s="37" t="s">
        <v>209</v>
      </c>
      <c r="R182" s="36">
        <v>40956</v>
      </c>
      <c r="S182" s="37" t="s">
        <v>275</v>
      </c>
      <c r="T182" s="36">
        <v>40872</v>
      </c>
      <c r="U182" s="37" t="s">
        <v>526</v>
      </c>
      <c r="V182" s="36">
        <v>40200</v>
      </c>
      <c r="W182" s="37" t="s">
        <v>1074</v>
      </c>
      <c r="X182" s="36">
        <v>40240</v>
      </c>
      <c r="Y182" s="37" t="s">
        <v>276</v>
      </c>
      <c r="Z182" s="37"/>
      <c r="AA182" s="36"/>
      <c r="AB182" s="37"/>
      <c r="AC182" s="39">
        <v>59</v>
      </c>
      <c r="AD182" s="38" t="str">
        <f t="shared" si="10"/>
        <v>4년 11개월</v>
      </c>
      <c r="AE182" s="39">
        <f ca="1">(재직자!$AL$1-J182)/30</f>
        <v>111.56666666666666</v>
      </c>
      <c r="AF182" s="39" t="str">
        <f t="shared" ca="1" si="11"/>
        <v>9년 3개월</v>
      </c>
      <c r="AG182" s="39">
        <f t="shared" ca="1" si="12"/>
        <v>170.56666666666666</v>
      </c>
      <c r="AH182" s="39" t="str">
        <f t="shared" ca="1" si="13"/>
        <v>14년 2개월</v>
      </c>
      <c r="AI182" s="43" t="s">
        <v>1587</v>
      </c>
      <c r="AJ182" s="33" t="s">
        <v>1588</v>
      </c>
      <c r="AK182" s="62" t="s">
        <v>1589</v>
      </c>
      <c r="AL182" s="37"/>
      <c r="AM182" s="37" t="s">
        <v>1590</v>
      </c>
      <c r="AN182" s="54" t="s">
        <v>1591</v>
      </c>
      <c r="AO182" s="32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</row>
    <row r="183" spans="1:54" ht="16.5" customHeight="1">
      <c r="A183" s="33" t="s">
        <v>853</v>
      </c>
      <c r="B183" s="33" t="s">
        <v>1592</v>
      </c>
      <c r="C183" s="33" t="s">
        <v>193</v>
      </c>
      <c r="D183" s="34" t="s">
        <v>1593</v>
      </c>
      <c r="E183" s="34" t="s">
        <v>51</v>
      </c>
      <c r="F183" s="34" t="s">
        <v>1594</v>
      </c>
      <c r="G183" s="34" t="s">
        <v>61</v>
      </c>
      <c r="H183" s="34" t="s">
        <v>1232</v>
      </c>
      <c r="I183" s="35" t="s">
        <v>1595</v>
      </c>
      <c r="J183" s="36">
        <v>42430</v>
      </c>
      <c r="K183" s="36"/>
      <c r="L183" s="36">
        <v>43397</v>
      </c>
      <c r="M183" s="37" t="s">
        <v>153</v>
      </c>
      <c r="N183" s="37" t="s">
        <v>1596</v>
      </c>
      <c r="O183" s="38" t="s">
        <v>457</v>
      </c>
      <c r="P183" s="38" t="s">
        <v>711</v>
      </c>
      <c r="Q183" s="37" t="s">
        <v>209</v>
      </c>
      <c r="R183" s="36">
        <v>41691</v>
      </c>
      <c r="S183" s="37" t="s">
        <v>275</v>
      </c>
      <c r="T183" s="36">
        <v>41502</v>
      </c>
      <c r="U183" s="37"/>
      <c r="V183" s="37"/>
      <c r="W183" s="37"/>
      <c r="X183" s="37"/>
      <c r="Y183" s="37" t="s">
        <v>210</v>
      </c>
      <c r="Z183" s="37"/>
      <c r="AA183" s="36"/>
      <c r="AB183" s="37"/>
      <c r="AC183" s="39"/>
      <c r="AD183" s="38" t="str">
        <f t="shared" si="10"/>
        <v>0년 0개월</v>
      </c>
      <c r="AE183" s="39">
        <f ca="1">(재직자!$AL$1-J183)/30</f>
        <v>122.8</v>
      </c>
      <c r="AF183" s="39" t="str">
        <f t="shared" ca="1" si="11"/>
        <v>10년 2개월</v>
      </c>
      <c r="AG183" s="39">
        <f t="shared" ca="1" si="12"/>
        <v>122.8</v>
      </c>
      <c r="AH183" s="39" t="str">
        <f t="shared" ca="1" si="13"/>
        <v>10년 2개월</v>
      </c>
      <c r="AI183" s="43" t="s">
        <v>1597</v>
      </c>
      <c r="AJ183" s="33" t="s">
        <v>1598</v>
      </c>
      <c r="AK183" s="62" t="s">
        <v>1599</v>
      </c>
      <c r="AL183" s="37"/>
      <c r="AM183" s="37" t="s">
        <v>1600</v>
      </c>
      <c r="AN183" s="54" t="s">
        <v>1601</v>
      </c>
      <c r="AO183" s="32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</row>
    <row r="184" spans="1:54" ht="15" customHeight="1">
      <c r="A184" s="33" t="s">
        <v>118</v>
      </c>
      <c r="B184" s="33" t="s">
        <v>1602</v>
      </c>
      <c r="C184" s="33" t="s">
        <v>193</v>
      </c>
      <c r="D184" s="34" t="s">
        <v>1603</v>
      </c>
      <c r="E184" s="34" t="s">
        <v>34</v>
      </c>
      <c r="F184" s="38" t="s">
        <v>1604</v>
      </c>
      <c r="G184" s="34" t="s">
        <v>880</v>
      </c>
      <c r="H184" s="37"/>
      <c r="I184" s="35" t="s">
        <v>1605</v>
      </c>
      <c r="J184" s="36">
        <v>40664</v>
      </c>
      <c r="K184" s="36">
        <v>41275</v>
      </c>
      <c r="L184" s="36">
        <v>43404</v>
      </c>
      <c r="M184" s="37" t="s">
        <v>146</v>
      </c>
      <c r="N184" s="37" t="s">
        <v>1606</v>
      </c>
      <c r="O184" s="38" t="s">
        <v>1607</v>
      </c>
      <c r="P184" s="38"/>
      <c r="Q184" s="37" t="s">
        <v>265</v>
      </c>
      <c r="R184" s="36">
        <v>35473</v>
      </c>
      <c r="S184" s="37"/>
      <c r="T184" s="37"/>
      <c r="U184" s="37"/>
      <c r="V184" s="37"/>
      <c r="W184" s="37"/>
      <c r="X184" s="37"/>
      <c r="Y184" s="37" t="s">
        <v>230</v>
      </c>
      <c r="Z184" s="37"/>
      <c r="AA184" s="36"/>
      <c r="AB184" s="37"/>
      <c r="AC184" s="39">
        <v>114</v>
      </c>
      <c r="AD184" s="38" t="str">
        <f t="shared" si="10"/>
        <v>9년 6개월</v>
      </c>
      <c r="AE184" s="39">
        <f ca="1">(재직자!$AL$1-J184)/30</f>
        <v>181.66666666666666</v>
      </c>
      <c r="AF184" s="39" t="str">
        <f t="shared" ca="1" si="11"/>
        <v>15년 1개월</v>
      </c>
      <c r="AG184" s="39">
        <f t="shared" ca="1" si="12"/>
        <v>295.66666666666663</v>
      </c>
      <c r="AH184" s="39" t="str">
        <f t="shared" ca="1" si="13"/>
        <v>24년 7개월</v>
      </c>
      <c r="AI184" s="65" t="s">
        <v>1608</v>
      </c>
      <c r="AJ184" s="33" t="s">
        <v>1609</v>
      </c>
      <c r="AK184" s="44" t="s">
        <v>1610</v>
      </c>
      <c r="AL184" s="37">
        <v>2634</v>
      </c>
      <c r="AM184" s="37" t="s">
        <v>1611</v>
      </c>
      <c r="AN184" s="54" t="s">
        <v>1612</v>
      </c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</row>
    <row r="185" spans="1:54" ht="16.5" customHeight="1">
      <c r="A185" s="33" t="s">
        <v>788</v>
      </c>
      <c r="B185" s="33" t="s">
        <v>1613</v>
      </c>
      <c r="C185" s="33" t="s">
        <v>226</v>
      </c>
      <c r="D185" s="34" t="s">
        <v>1614</v>
      </c>
      <c r="E185" s="34" t="s">
        <v>34</v>
      </c>
      <c r="F185" s="34" t="s">
        <v>1615</v>
      </c>
      <c r="G185" s="34" t="s">
        <v>880</v>
      </c>
      <c r="H185" s="34"/>
      <c r="I185" s="35" t="s">
        <v>1616</v>
      </c>
      <c r="J185" s="36">
        <v>42786</v>
      </c>
      <c r="K185" s="36"/>
      <c r="L185" s="36">
        <v>43413</v>
      </c>
      <c r="M185" s="37" t="s">
        <v>153</v>
      </c>
      <c r="N185" s="37" t="s">
        <v>883</v>
      </c>
      <c r="O185" s="38" t="s">
        <v>1617</v>
      </c>
      <c r="P185" s="38" t="s">
        <v>1433</v>
      </c>
      <c r="Q185" s="37" t="s">
        <v>209</v>
      </c>
      <c r="R185" s="36">
        <v>38401</v>
      </c>
      <c r="S185" s="37"/>
      <c r="T185" s="36"/>
      <c r="U185" s="37"/>
      <c r="V185" s="36"/>
      <c r="W185" s="37"/>
      <c r="X185" s="36"/>
      <c r="Y185" s="37"/>
      <c r="Z185" s="37"/>
      <c r="AA185" s="36"/>
      <c r="AB185" s="37"/>
      <c r="AC185" s="39">
        <v>146</v>
      </c>
      <c r="AD185" s="38" t="str">
        <f t="shared" si="10"/>
        <v>12년 2개월</v>
      </c>
      <c r="AE185" s="39">
        <f ca="1">(재직자!$AL$1-J185)/30</f>
        <v>110.93333333333334</v>
      </c>
      <c r="AF185" s="39" t="str">
        <f t="shared" ca="1" si="11"/>
        <v>9년 2개월</v>
      </c>
      <c r="AG185" s="39">
        <f t="shared" ca="1" si="12"/>
        <v>256.93333333333334</v>
      </c>
      <c r="AH185" s="39" t="str">
        <f t="shared" ca="1" si="13"/>
        <v>21년 4개월</v>
      </c>
      <c r="AI185" s="43" t="s">
        <v>1618</v>
      </c>
      <c r="AJ185" s="33" t="s">
        <v>1619</v>
      </c>
      <c r="AK185" s="62" t="s">
        <v>1620</v>
      </c>
      <c r="AL185" s="37"/>
      <c r="AM185" s="37" t="s">
        <v>1621</v>
      </c>
      <c r="AN185" s="54" t="s">
        <v>1622</v>
      </c>
      <c r="AO185" s="32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</row>
    <row r="186" spans="1:54" ht="15" customHeight="1">
      <c r="A186" s="33" t="s">
        <v>122</v>
      </c>
      <c r="B186" s="33" t="s">
        <v>1623</v>
      </c>
      <c r="C186" s="33" t="s">
        <v>193</v>
      </c>
      <c r="D186" s="33" t="s">
        <v>1624</v>
      </c>
      <c r="E186" s="33" t="s">
        <v>625</v>
      </c>
      <c r="F186" s="33" t="s">
        <v>1625</v>
      </c>
      <c r="G186" s="37" t="s">
        <v>61</v>
      </c>
      <c r="H186" s="34" t="s">
        <v>1626</v>
      </c>
      <c r="I186" s="35" t="s">
        <v>1627</v>
      </c>
      <c r="J186" s="36">
        <v>42370</v>
      </c>
      <c r="K186" s="36">
        <v>41791</v>
      </c>
      <c r="L186" s="36">
        <v>43434</v>
      </c>
      <c r="M186" s="37" t="s">
        <v>153</v>
      </c>
      <c r="N186" s="37" t="s">
        <v>944</v>
      </c>
      <c r="O186" s="38" t="s">
        <v>491</v>
      </c>
      <c r="P186" s="38" t="s">
        <v>763</v>
      </c>
      <c r="Q186" s="37" t="s">
        <v>209</v>
      </c>
      <c r="R186" s="36">
        <v>35110</v>
      </c>
      <c r="S186" s="37" t="s">
        <v>275</v>
      </c>
      <c r="T186" s="36">
        <v>35002</v>
      </c>
      <c r="U186" s="36"/>
      <c r="V186" s="36"/>
      <c r="W186" s="36"/>
      <c r="X186" s="36"/>
      <c r="Y186" s="37" t="s">
        <v>199</v>
      </c>
      <c r="Z186" s="37" t="s">
        <v>200</v>
      </c>
      <c r="AA186" s="36"/>
      <c r="AB186" s="37"/>
      <c r="AC186" s="37">
        <v>68</v>
      </c>
      <c r="AD186" s="38" t="str">
        <f t="shared" si="10"/>
        <v>5년 8개월</v>
      </c>
      <c r="AE186" s="39">
        <f ca="1">(재직자!$AL$1-J186)/30</f>
        <v>124.8</v>
      </c>
      <c r="AF186" s="39" t="str">
        <f t="shared" ca="1" si="11"/>
        <v>10년 4개월</v>
      </c>
      <c r="AG186" s="38">
        <f t="shared" ca="1" si="12"/>
        <v>192.8</v>
      </c>
      <c r="AH186" s="39" t="str">
        <f t="shared" ca="1" si="13"/>
        <v>16년 0개월</v>
      </c>
      <c r="AI186" s="43" t="s">
        <v>1628</v>
      </c>
      <c r="AJ186" s="33" t="s">
        <v>1629</v>
      </c>
      <c r="AK186" s="44" t="s">
        <v>1630</v>
      </c>
      <c r="AL186" s="37">
        <v>2636</v>
      </c>
      <c r="AM186" s="37" t="s">
        <v>1631</v>
      </c>
      <c r="AN186" s="54" t="s">
        <v>1632</v>
      </c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</row>
    <row r="187" spans="1:54" ht="15" customHeight="1">
      <c r="A187" s="33" t="s">
        <v>118</v>
      </c>
      <c r="B187" s="33" t="s">
        <v>1633</v>
      </c>
      <c r="C187" s="33" t="s">
        <v>924</v>
      </c>
      <c r="D187" s="34" t="s">
        <v>1634</v>
      </c>
      <c r="E187" s="34" t="s">
        <v>228</v>
      </c>
      <c r="F187" s="38" t="s">
        <v>1635</v>
      </c>
      <c r="G187" s="34" t="s">
        <v>61</v>
      </c>
      <c r="H187" s="34" t="s">
        <v>1221</v>
      </c>
      <c r="I187" s="35" t="s">
        <v>1636</v>
      </c>
      <c r="J187" s="36">
        <v>40701</v>
      </c>
      <c r="K187" s="36">
        <v>42552</v>
      </c>
      <c r="L187" s="36">
        <v>43434</v>
      </c>
      <c r="M187" s="37" t="s">
        <v>146</v>
      </c>
      <c r="N187" s="37" t="s">
        <v>263</v>
      </c>
      <c r="O187" s="38" t="s">
        <v>1607</v>
      </c>
      <c r="P187" s="38"/>
      <c r="Q187" s="37" t="s">
        <v>265</v>
      </c>
      <c r="R187" s="36"/>
      <c r="S187" s="37" t="s">
        <v>543</v>
      </c>
      <c r="T187" s="36">
        <v>37834</v>
      </c>
      <c r="U187" s="37"/>
      <c r="V187" s="37"/>
      <c r="W187" s="37"/>
      <c r="X187" s="37"/>
      <c r="Y187" s="37" t="s">
        <v>199</v>
      </c>
      <c r="Z187" s="37" t="s">
        <v>211</v>
      </c>
      <c r="AA187" s="36">
        <v>41011</v>
      </c>
      <c r="AB187" s="37" t="s">
        <v>230</v>
      </c>
      <c r="AC187" s="39">
        <v>134</v>
      </c>
      <c r="AD187" s="38" t="str">
        <f t="shared" si="10"/>
        <v>11년 2개월</v>
      </c>
      <c r="AE187" s="39">
        <f ca="1">(재직자!$AL$1-J187)/30</f>
        <v>180.43333333333334</v>
      </c>
      <c r="AF187" s="39" t="str">
        <f t="shared" ca="1" si="11"/>
        <v>15년 0개월</v>
      </c>
      <c r="AG187" s="39">
        <f t="shared" ca="1" si="12"/>
        <v>314.43333333333334</v>
      </c>
      <c r="AH187" s="39" t="str">
        <f t="shared" ca="1" si="13"/>
        <v>26년 2개월</v>
      </c>
      <c r="AI187" s="66" t="s">
        <v>1637</v>
      </c>
      <c r="AJ187" s="33" t="s">
        <v>1638</v>
      </c>
      <c r="AK187" s="44" t="s">
        <v>1639</v>
      </c>
      <c r="AL187" s="37">
        <v>2644</v>
      </c>
      <c r="AM187" s="37" t="s">
        <v>1640</v>
      </c>
      <c r="AN187" s="54" t="s">
        <v>1641</v>
      </c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</row>
    <row r="188" spans="1:54" ht="15" customHeight="1">
      <c r="A188" s="33" t="s">
        <v>148</v>
      </c>
      <c r="B188" s="37">
        <v>130501</v>
      </c>
      <c r="C188" s="37" t="s">
        <v>193</v>
      </c>
      <c r="D188" s="37" t="s">
        <v>1642</v>
      </c>
      <c r="E188" s="37" t="s">
        <v>44</v>
      </c>
      <c r="F188" s="38" t="s">
        <v>1643</v>
      </c>
      <c r="G188" s="34" t="s">
        <v>1644</v>
      </c>
      <c r="H188" s="37"/>
      <c r="I188" s="37" t="s">
        <v>1645</v>
      </c>
      <c r="J188" s="36">
        <v>41398</v>
      </c>
      <c r="K188" s="36">
        <v>41821</v>
      </c>
      <c r="L188" s="36">
        <v>43448</v>
      </c>
      <c r="M188" s="37" t="s">
        <v>153</v>
      </c>
      <c r="N188" s="37" t="s">
        <v>973</v>
      </c>
      <c r="O188" s="37" t="s">
        <v>297</v>
      </c>
      <c r="P188" s="37" t="s">
        <v>1134</v>
      </c>
      <c r="Q188" s="37" t="s">
        <v>209</v>
      </c>
      <c r="R188" s="36">
        <v>39493</v>
      </c>
      <c r="S188" s="37" t="s">
        <v>275</v>
      </c>
      <c r="T188" s="36">
        <v>39257</v>
      </c>
      <c r="U188" s="37" t="s">
        <v>1074</v>
      </c>
      <c r="V188" s="36">
        <v>39310</v>
      </c>
      <c r="W188" s="37"/>
      <c r="X188" s="37"/>
      <c r="Y188" s="37" t="s">
        <v>230</v>
      </c>
      <c r="Z188" s="37" t="s">
        <v>211</v>
      </c>
      <c r="AA188" s="36">
        <v>41400</v>
      </c>
      <c r="AB188" s="37"/>
      <c r="AC188" s="39">
        <v>40.9</v>
      </c>
      <c r="AD188" s="37" t="str">
        <f t="shared" si="10"/>
        <v>3년 4개월</v>
      </c>
      <c r="AE188" s="39">
        <f ca="1">(재직자!$AL$1-J188)/30</f>
        <v>157.19999999999999</v>
      </c>
      <c r="AF188" s="37" t="str">
        <f t="shared" ca="1" si="11"/>
        <v>13년 1개월</v>
      </c>
      <c r="AG188" s="39">
        <f t="shared" ca="1" si="12"/>
        <v>198.1</v>
      </c>
      <c r="AH188" s="37" t="str">
        <f t="shared" ca="1" si="13"/>
        <v>16년 6개월</v>
      </c>
      <c r="AI188" s="44" t="s">
        <v>1646</v>
      </c>
      <c r="AJ188" s="37" t="s">
        <v>1647</v>
      </c>
      <c r="AK188" s="50" t="s">
        <v>1648</v>
      </c>
      <c r="AL188" s="37"/>
      <c r="AM188" s="37" t="s">
        <v>1649</v>
      </c>
      <c r="AN188" s="54">
        <v>9.08</v>
      </c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</row>
    <row r="189" spans="1:54" ht="16.5" customHeight="1">
      <c r="A189" s="33" t="s">
        <v>187</v>
      </c>
      <c r="B189" s="33" t="s">
        <v>1650</v>
      </c>
      <c r="C189" s="33" t="s">
        <v>193</v>
      </c>
      <c r="D189" s="34" t="s">
        <v>324</v>
      </c>
      <c r="E189" s="34" t="s">
        <v>34</v>
      </c>
      <c r="F189" s="34" t="s">
        <v>1651</v>
      </c>
      <c r="G189" s="34" t="s">
        <v>1644</v>
      </c>
      <c r="H189" s="37"/>
      <c r="I189" s="35" t="s">
        <v>326</v>
      </c>
      <c r="J189" s="36">
        <v>42248</v>
      </c>
      <c r="K189" s="36"/>
      <c r="L189" s="36">
        <v>43465</v>
      </c>
      <c r="M189" s="37" t="s">
        <v>153</v>
      </c>
      <c r="N189" s="37" t="s">
        <v>327</v>
      </c>
      <c r="O189" s="38" t="s">
        <v>457</v>
      </c>
      <c r="P189" s="38" t="s">
        <v>711</v>
      </c>
      <c r="Q189" s="37" t="s">
        <v>209</v>
      </c>
      <c r="R189" s="36">
        <v>39131</v>
      </c>
      <c r="S189" s="37"/>
      <c r="T189" s="37"/>
      <c r="U189" s="37"/>
      <c r="V189" s="37"/>
      <c r="W189" s="37"/>
      <c r="X189" s="37"/>
      <c r="Y189" s="37" t="s">
        <v>199</v>
      </c>
      <c r="Z189" s="37"/>
      <c r="AA189" s="36"/>
      <c r="AB189" s="37"/>
      <c r="AC189" s="39">
        <v>163</v>
      </c>
      <c r="AD189" s="38" t="str">
        <f t="shared" si="10"/>
        <v>13년 7개월</v>
      </c>
      <c r="AE189" s="39">
        <f ca="1">(재직자!$AL$1-J189)/30</f>
        <v>128.86666666666667</v>
      </c>
      <c r="AF189" s="39" t="str">
        <f t="shared" ca="1" si="11"/>
        <v>10년 8개월</v>
      </c>
      <c r="AG189" s="39">
        <f t="shared" ca="1" si="12"/>
        <v>291.86666666666667</v>
      </c>
      <c r="AH189" s="39" t="str">
        <f t="shared" ca="1" si="13"/>
        <v>24년 3개월</v>
      </c>
      <c r="AI189" s="43" t="s">
        <v>1652</v>
      </c>
      <c r="AJ189" s="33" t="s">
        <v>1653</v>
      </c>
      <c r="AK189" s="50" t="s">
        <v>330</v>
      </c>
      <c r="AL189" s="37"/>
      <c r="AM189" s="37" t="s">
        <v>1654</v>
      </c>
      <c r="AN189" s="54" t="s">
        <v>1655</v>
      </c>
      <c r="AO189" s="32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</row>
    <row r="190" spans="1:54" ht="15" customHeight="1">
      <c r="A190" s="33" t="s">
        <v>818</v>
      </c>
      <c r="B190" s="33" t="s">
        <v>1656</v>
      </c>
      <c r="C190" s="33" t="s">
        <v>924</v>
      </c>
      <c r="D190" s="34" t="s">
        <v>1657</v>
      </c>
      <c r="E190" s="34" t="s">
        <v>44</v>
      </c>
      <c r="F190" s="38" t="s">
        <v>1658</v>
      </c>
      <c r="G190" s="34" t="s">
        <v>1644</v>
      </c>
      <c r="H190" s="34"/>
      <c r="I190" s="35" t="s">
        <v>1659</v>
      </c>
      <c r="J190" s="36">
        <v>43346</v>
      </c>
      <c r="K190" s="36"/>
      <c r="L190" s="36">
        <v>43465</v>
      </c>
      <c r="M190" s="37" t="s">
        <v>153</v>
      </c>
      <c r="N190" s="37" t="s">
        <v>1660</v>
      </c>
      <c r="O190" s="38" t="s">
        <v>1661</v>
      </c>
      <c r="P190" s="38"/>
      <c r="Q190" s="37" t="s">
        <v>209</v>
      </c>
      <c r="R190" s="36">
        <v>40596</v>
      </c>
      <c r="S190" s="37" t="s">
        <v>275</v>
      </c>
      <c r="T190" s="36">
        <v>40409</v>
      </c>
      <c r="U190" s="37" t="s">
        <v>1662</v>
      </c>
      <c r="V190" s="36">
        <v>43265</v>
      </c>
      <c r="W190" s="37"/>
      <c r="X190" s="37"/>
      <c r="Y190" s="37"/>
      <c r="Z190" s="37"/>
      <c r="AA190" s="36"/>
      <c r="AB190" s="37"/>
      <c r="AC190" s="39">
        <v>41</v>
      </c>
      <c r="AD190" s="38" t="str">
        <f t="shared" si="10"/>
        <v>3년 5개월</v>
      </c>
      <c r="AE190" s="39">
        <f ca="1">(재직자!$AL$1-J190)/30</f>
        <v>92.266666666666666</v>
      </c>
      <c r="AF190" s="39" t="str">
        <f t="shared" ca="1" si="11"/>
        <v>7년 8개월</v>
      </c>
      <c r="AG190" s="39">
        <f t="shared" ca="1" si="12"/>
        <v>133.26666666666665</v>
      </c>
      <c r="AH190" s="39" t="str">
        <f t="shared" ca="1" si="13"/>
        <v>11년 1개월</v>
      </c>
      <c r="AI190" s="43" t="s">
        <v>1663</v>
      </c>
      <c r="AJ190" s="33" t="s">
        <v>1664</v>
      </c>
      <c r="AK190" s="50" t="s">
        <v>1665</v>
      </c>
      <c r="AL190" s="37"/>
      <c r="AM190" s="37" t="s">
        <v>1666</v>
      </c>
      <c r="AN190" s="54" t="s">
        <v>1667</v>
      </c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</row>
    <row r="191" spans="1:54" ht="16.5" customHeight="1">
      <c r="A191" s="33" t="s">
        <v>510</v>
      </c>
      <c r="B191" s="33" t="s">
        <v>1668</v>
      </c>
      <c r="C191" s="33" t="s">
        <v>193</v>
      </c>
      <c r="D191" s="34" t="s">
        <v>1669</v>
      </c>
      <c r="E191" s="34" t="s">
        <v>34</v>
      </c>
      <c r="F191" s="34"/>
      <c r="G191" s="34" t="s">
        <v>1644</v>
      </c>
      <c r="H191" s="34"/>
      <c r="I191" s="35" t="s">
        <v>1670</v>
      </c>
      <c r="J191" s="36">
        <v>43417</v>
      </c>
      <c r="K191" s="36"/>
      <c r="L191" s="36">
        <v>43480</v>
      </c>
      <c r="M191" s="37" t="s">
        <v>153</v>
      </c>
      <c r="N191" s="37" t="s">
        <v>944</v>
      </c>
      <c r="O191" s="38" t="s">
        <v>945</v>
      </c>
      <c r="P191" s="38" t="s">
        <v>763</v>
      </c>
      <c r="Q191" s="37" t="s">
        <v>209</v>
      </c>
      <c r="R191" s="36">
        <v>36938</v>
      </c>
      <c r="S191" s="37"/>
      <c r="T191" s="36"/>
      <c r="U191" s="37"/>
      <c r="V191" s="36"/>
      <c r="W191" s="37"/>
      <c r="X191" s="36"/>
      <c r="Y191" s="37"/>
      <c r="Z191" s="37"/>
      <c r="AA191" s="36"/>
      <c r="AB191" s="37"/>
      <c r="AC191" s="39">
        <v>181</v>
      </c>
      <c r="AD191" s="38" t="str">
        <f t="shared" si="10"/>
        <v>15년 1개월</v>
      </c>
      <c r="AE191" s="39">
        <f ca="1">(재직자!$AL$1-J191)/30</f>
        <v>89.9</v>
      </c>
      <c r="AF191" s="39" t="str">
        <f t="shared" ca="1" si="11"/>
        <v>7년 5개월</v>
      </c>
      <c r="AG191" s="39">
        <f t="shared" ca="1" si="12"/>
        <v>270.89999999999998</v>
      </c>
      <c r="AH191" s="39" t="str">
        <f t="shared" ca="1" si="13"/>
        <v>22년 6개월</v>
      </c>
      <c r="AI191" s="43" t="s">
        <v>1671</v>
      </c>
      <c r="AJ191" s="33" t="s">
        <v>1672</v>
      </c>
      <c r="AK191" s="62" t="s">
        <v>1673</v>
      </c>
      <c r="AL191" s="37"/>
      <c r="AM191" s="37" t="s">
        <v>1674</v>
      </c>
      <c r="AN191" s="54" t="s">
        <v>1675</v>
      </c>
      <c r="AO191" s="32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</row>
    <row r="192" spans="1:54" ht="16.5" customHeight="1">
      <c r="A192" s="33" t="s">
        <v>280</v>
      </c>
      <c r="B192" s="33" t="s">
        <v>1676</v>
      </c>
      <c r="C192" s="33" t="s">
        <v>226</v>
      </c>
      <c r="D192" s="34" t="s">
        <v>1378</v>
      </c>
      <c r="E192" s="34" t="s">
        <v>139</v>
      </c>
      <c r="F192" s="34"/>
      <c r="G192" s="34" t="s">
        <v>1644</v>
      </c>
      <c r="H192" s="34"/>
      <c r="I192" s="35" t="s">
        <v>1379</v>
      </c>
      <c r="J192" s="36">
        <v>43417</v>
      </c>
      <c r="K192" s="36"/>
      <c r="L192" s="36">
        <v>43504</v>
      </c>
      <c r="M192" s="37" t="s">
        <v>146</v>
      </c>
      <c r="N192" s="37" t="s">
        <v>1380</v>
      </c>
      <c r="O192" s="38" t="s">
        <v>1381</v>
      </c>
      <c r="P192" s="38"/>
      <c r="Q192" s="37" t="s">
        <v>265</v>
      </c>
      <c r="R192" s="36"/>
      <c r="S192" s="37"/>
      <c r="T192" s="36"/>
      <c r="U192" s="37"/>
      <c r="V192" s="36"/>
      <c r="W192" s="37"/>
      <c r="X192" s="36"/>
      <c r="Y192" s="37"/>
      <c r="Z192" s="37"/>
      <c r="AA192" s="36"/>
      <c r="AB192" s="37"/>
      <c r="AC192" s="39">
        <v>210</v>
      </c>
      <c r="AD192" s="38" t="str">
        <f t="shared" si="10"/>
        <v>17년 6개월</v>
      </c>
      <c r="AE192" s="39">
        <f ca="1">(재직자!$AL$1-J192)/30</f>
        <v>89.9</v>
      </c>
      <c r="AF192" s="39" t="str">
        <f t="shared" ca="1" si="11"/>
        <v>7년 5개월</v>
      </c>
      <c r="AG192" s="39">
        <f t="shared" ca="1" si="12"/>
        <v>299.89999999999998</v>
      </c>
      <c r="AH192" s="39" t="str">
        <f t="shared" ca="1" si="13"/>
        <v>24년 11개월</v>
      </c>
      <c r="AI192" s="43" t="s">
        <v>1382</v>
      </c>
      <c r="AJ192" s="33" t="s">
        <v>1383</v>
      </c>
      <c r="AK192" s="62" t="s">
        <v>1384</v>
      </c>
      <c r="AL192" s="37"/>
      <c r="AM192" s="37" t="s">
        <v>1385</v>
      </c>
      <c r="AN192" s="54" t="s">
        <v>1386</v>
      </c>
      <c r="AO192" s="32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</row>
    <row r="193" spans="1:54" ht="16.5" customHeight="1">
      <c r="A193" s="33" t="s">
        <v>788</v>
      </c>
      <c r="B193" s="33" t="s">
        <v>1677</v>
      </c>
      <c r="C193" s="33" t="s">
        <v>226</v>
      </c>
      <c r="D193" s="34" t="s">
        <v>624</v>
      </c>
      <c r="E193" s="34" t="s">
        <v>625</v>
      </c>
      <c r="F193" s="34" t="s">
        <v>1678</v>
      </c>
      <c r="G193" s="34"/>
      <c r="H193" s="34"/>
      <c r="I193" s="35" t="s">
        <v>626</v>
      </c>
      <c r="J193" s="36">
        <v>42948</v>
      </c>
      <c r="K193" s="36"/>
      <c r="L193" s="36">
        <v>43524</v>
      </c>
      <c r="M193" s="37" t="s">
        <v>196</v>
      </c>
      <c r="N193" s="37" t="s">
        <v>1679</v>
      </c>
      <c r="O193" s="38" t="s">
        <v>499</v>
      </c>
      <c r="P193" s="38" t="s">
        <v>711</v>
      </c>
      <c r="Q193" s="37" t="s">
        <v>198</v>
      </c>
      <c r="R193" s="36">
        <v>34021</v>
      </c>
      <c r="S193" s="37"/>
      <c r="T193" s="36"/>
      <c r="U193" s="37"/>
      <c r="V193" s="36"/>
      <c r="W193" s="37"/>
      <c r="X193" s="36"/>
      <c r="Y193" s="37"/>
      <c r="Z193" s="37"/>
      <c r="AA193" s="36"/>
      <c r="AB193" s="37"/>
      <c r="AC193" s="39">
        <v>279</v>
      </c>
      <c r="AD193" s="38" t="str">
        <f t="shared" si="10"/>
        <v>23년 3개월</v>
      </c>
      <c r="AE193" s="39">
        <f ca="1">(재직자!$AL$1-J193)/30</f>
        <v>105.53333333333333</v>
      </c>
      <c r="AF193" s="39" t="str">
        <f t="shared" ca="1" si="11"/>
        <v>8년 9개월</v>
      </c>
      <c r="AG193" s="39">
        <f t="shared" ca="1" si="12"/>
        <v>384.5333333333333</v>
      </c>
      <c r="AH193" s="39" t="str">
        <f t="shared" ca="1" si="13"/>
        <v>32년 0개월</v>
      </c>
      <c r="AI193" s="43" t="s">
        <v>1680</v>
      </c>
      <c r="AJ193" s="33" t="s">
        <v>629</v>
      </c>
      <c r="AK193" s="62" t="s">
        <v>630</v>
      </c>
      <c r="AL193" s="37"/>
      <c r="AM193" s="37" t="s">
        <v>1681</v>
      </c>
      <c r="AN193" s="54" t="s">
        <v>1682</v>
      </c>
      <c r="AO193" s="32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</row>
    <row r="194" spans="1:54" ht="16.5" customHeight="1">
      <c r="A194" s="33" t="s">
        <v>853</v>
      </c>
      <c r="B194" s="33" t="s">
        <v>1683</v>
      </c>
      <c r="C194" s="33" t="s">
        <v>193</v>
      </c>
      <c r="D194" s="34" t="s">
        <v>260</v>
      </c>
      <c r="E194" s="34" t="s">
        <v>88</v>
      </c>
      <c r="F194" s="34" t="s">
        <v>1684</v>
      </c>
      <c r="G194" s="34" t="s">
        <v>1685</v>
      </c>
      <c r="H194" s="34" t="s">
        <v>1232</v>
      </c>
      <c r="I194" s="35" t="s">
        <v>1686</v>
      </c>
      <c r="J194" s="36">
        <v>42752</v>
      </c>
      <c r="K194" s="36"/>
      <c r="L194" s="36">
        <v>43518</v>
      </c>
      <c r="M194" s="37" t="s">
        <v>146</v>
      </c>
      <c r="N194" s="37" t="s">
        <v>1687</v>
      </c>
      <c r="O194" s="38" t="s">
        <v>1688</v>
      </c>
      <c r="P194" s="38" t="s">
        <v>964</v>
      </c>
      <c r="Q194" s="37" t="s">
        <v>265</v>
      </c>
      <c r="R194" s="36">
        <v>39283</v>
      </c>
      <c r="S194" s="37"/>
      <c r="T194" s="36"/>
      <c r="U194" s="37"/>
      <c r="V194" s="36"/>
      <c r="W194" s="37"/>
      <c r="X194" s="36"/>
      <c r="Y194" s="37" t="s">
        <v>276</v>
      </c>
      <c r="Z194" s="37"/>
      <c r="AA194" s="36"/>
      <c r="AB194" s="37"/>
      <c r="AC194" s="39">
        <v>113</v>
      </c>
      <c r="AD194" s="38" t="str">
        <f t="shared" si="10"/>
        <v>9년 5개월</v>
      </c>
      <c r="AE194" s="39">
        <f ca="1">(재직자!$AL$1-J194)/30</f>
        <v>112.06666666666666</v>
      </c>
      <c r="AF194" s="39" t="str">
        <f t="shared" ca="1" si="11"/>
        <v>9년 4개월</v>
      </c>
      <c r="AG194" s="39">
        <f t="shared" ca="1" si="12"/>
        <v>225.06666666666666</v>
      </c>
      <c r="AH194" s="39" t="str">
        <f t="shared" ca="1" si="13"/>
        <v>18년 9개월</v>
      </c>
      <c r="AI194" s="43" t="s">
        <v>1689</v>
      </c>
      <c r="AJ194" s="33" t="s">
        <v>1690</v>
      </c>
      <c r="AK194" s="62" t="s">
        <v>1691</v>
      </c>
      <c r="AL194" s="37"/>
      <c r="AM194" s="37" t="s">
        <v>1692</v>
      </c>
      <c r="AN194" s="54" t="s">
        <v>1543</v>
      </c>
      <c r="AO194" s="32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</row>
    <row r="195" spans="1:54" ht="16.5" customHeight="1">
      <c r="A195" s="33" t="s">
        <v>652</v>
      </c>
      <c r="B195" s="33" t="s">
        <v>1693</v>
      </c>
      <c r="C195" s="33" t="s">
        <v>193</v>
      </c>
      <c r="D195" s="34" t="s">
        <v>1694</v>
      </c>
      <c r="E195" s="34" t="s">
        <v>34</v>
      </c>
      <c r="F195" s="34"/>
      <c r="G195" s="34" t="s">
        <v>1685</v>
      </c>
      <c r="H195" s="34"/>
      <c r="I195" s="35" t="s">
        <v>1695</v>
      </c>
      <c r="J195" s="36">
        <v>43405</v>
      </c>
      <c r="K195" s="36"/>
      <c r="L195" s="36">
        <v>43524</v>
      </c>
      <c r="M195" s="37" t="s">
        <v>153</v>
      </c>
      <c r="N195" s="37" t="s">
        <v>944</v>
      </c>
      <c r="O195" s="38" t="s">
        <v>945</v>
      </c>
      <c r="P195" s="38" t="s">
        <v>763</v>
      </c>
      <c r="Q195" s="37" t="s">
        <v>209</v>
      </c>
      <c r="R195" s="36">
        <v>36210</v>
      </c>
      <c r="S195" s="37"/>
      <c r="T195" s="36"/>
      <c r="U195" s="37"/>
      <c r="V195" s="36"/>
      <c r="W195" s="37"/>
      <c r="X195" s="36"/>
      <c r="Y195" s="37"/>
      <c r="Z195" s="37"/>
      <c r="AA195" s="36"/>
      <c r="AB195" s="37"/>
      <c r="AC195" s="39">
        <v>95</v>
      </c>
      <c r="AD195" s="38" t="str">
        <f t="shared" si="10"/>
        <v>7년 11개월</v>
      </c>
      <c r="AE195" s="39">
        <f ca="1">(재직자!$AL$1-J195)/30</f>
        <v>90.3</v>
      </c>
      <c r="AF195" s="39" t="str">
        <f t="shared" ca="1" si="11"/>
        <v>7년 6개월</v>
      </c>
      <c r="AG195" s="39">
        <f t="shared" ca="1" si="12"/>
        <v>185.3</v>
      </c>
      <c r="AH195" s="39" t="str">
        <f t="shared" ca="1" si="13"/>
        <v>15년 5개월</v>
      </c>
      <c r="AI195" s="43" t="s">
        <v>1696</v>
      </c>
      <c r="AJ195" s="33" t="s">
        <v>1697</v>
      </c>
      <c r="AK195" s="62" t="s">
        <v>1698</v>
      </c>
      <c r="AL195" s="37"/>
      <c r="AM195" s="37" t="s">
        <v>1699</v>
      </c>
      <c r="AN195" s="54" t="s">
        <v>1700</v>
      </c>
      <c r="AO195" s="32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</row>
    <row r="196" spans="1:54" ht="15" customHeight="1">
      <c r="A196" s="33" t="s">
        <v>49</v>
      </c>
      <c r="B196" s="33" t="s">
        <v>1701</v>
      </c>
      <c r="C196" s="33" t="s">
        <v>924</v>
      </c>
      <c r="D196" s="34" t="s">
        <v>1702</v>
      </c>
      <c r="E196" s="34" t="s">
        <v>228</v>
      </c>
      <c r="F196" s="38" t="s">
        <v>1703</v>
      </c>
      <c r="G196" s="37" t="s">
        <v>1685</v>
      </c>
      <c r="H196" s="34" t="s">
        <v>1232</v>
      </c>
      <c r="I196" s="35" t="s">
        <v>1704</v>
      </c>
      <c r="J196" s="36">
        <v>38523</v>
      </c>
      <c r="K196" s="36">
        <v>42826</v>
      </c>
      <c r="L196" s="36">
        <v>43537</v>
      </c>
      <c r="M196" s="37" t="s">
        <v>153</v>
      </c>
      <c r="N196" s="37" t="s">
        <v>973</v>
      </c>
      <c r="O196" s="38" t="s">
        <v>1705</v>
      </c>
      <c r="P196" s="38"/>
      <c r="Q196" s="37" t="s">
        <v>209</v>
      </c>
      <c r="R196" s="36">
        <v>36769</v>
      </c>
      <c r="S196" s="37" t="s">
        <v>275</v>
      </c>
      <c r="T196" s="36">
        <v>39356</v>
      </c>
      <c r="U196" s="37" t="s">
        <v>722</v>
      </c>
      <c r="V196" s="36">
        <v>40269</v>
      </c>
      <c r="W196" s="37"/>
      <c r="X196" s="37"/>
      <c r="Y196" s="37" t="s">
        <v>199</v>
      </c>
      <c r="Z196" s="37" t="s">
        <v>211</v>
      </c>
      <c r="AA196" s="36">
        <v>40893</v>
      </c>
      <c r="AB196" s="37" t="s">
        <v>230</v>
      </c>
      <c r="AC196" s="39">
        <v>46</v>
      </c>
      <c r="AD196" s="38" t="str">
        <f t="shared" si="10"/>
        <v>3년 10개월</v>
      </c>
      <c r="AE196" s="39">
        <f ca="1">(재직자!$AL$1-J196)/30</f>
        <v>253.03333333333333</v>
      </c>
      <c r="AF196" s="39" t="str">
        <f t="shared" ca="1" si="11"/>
        <v>21년 1개월</v>
      </c>
      <c r="AG196" s="39">
        <f t="shared" ca="1" si="12"/>
        <v>299.0333333333333</v>
      </c>
      <c r="AH196" s="39" t="str">
        <f t="shared" ca="1" si="13"/>
        <v>24년 11개월</v>
      </c>
      <c r="AI196" s="43" t="s">
        <v>1706</v>
      </c>
      <c r="AJ196" s="33" t="s">
        <v>1707</v>
      </c>
      <c r="AK196" s="50" t="s">
        <v>1708</v>
      </c>
      <c r="AL196" s="37"/>
      <c r="AM196" s="37" t="s">
        <v>1709</v>
      </c>
      <c r="AN196" s="54" t="s">
        <v>1710</v>
      </c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</row>
    <row r="197" spans="1:54" ht="16.5" customHeight="1">
      <c r="A197" s="33" t="s">
        <v>350</v>
      </c>
      <c r="B197" s="33" t="s">
        <v>1711</v>
      </c>
      <c r="C197" s="33" t="s">
        <v>193</v>
      </c>
      <c r="D197" s="34" t="s">
        <v>1712</v>
      </c>
      <c r="E197" s="34" t="s">
        <v>88</v>
      </c>
      <c r="F197" s="34"/>
      <c r="G197" s="34" t="s">
        <v>1644</v>
      </c>
      <c r="H197" s="34"/>
      <c r="I197" s="35" t="s">
        <v>1713</v>
      </c>
      <c r="J197" s="36">
        <v>43409</v>
      </c>
      <c r="K197" s="36"/>
      <c r="L197" s="36">
        <v>43544</v>
      </c>
      <c r="M197" s="37" t="s">
        <v>153</v>
      </c>
      <c r="N197" s="37" t="s">
        <v>915</v>
      </c>
      <c r="O197" s="38" t="s">
        <v>1714</v>
      </c>
      <c r="P197" s="38" t="s">
        <v>711</v>
      </c>
      <c r="Q197" s="37" t="s">
        <v>209</v>
      </c>
      <c r="R197" s="36">
        <v>39493</v>
      </c>
      <c r="S197" s="37"/>
      <c r="T197" s="36"/>
      <c r="U197" s="37"/>
      <c r="V197" s="36"/>
      <c r="W197" s="37"/>
      <c r="X197" s="36"/>
      <c r="Y197" s="37"/>
      <c r="Z197" s="37"/>
      <c r="AA197" s="36"/>
      <c r="AB197" s="37"/>
      <c r="AC197" s="39">
        <v>83</v>
      </c>
      <c r="AD197" s="38" t="str">
        <f t="shared" si="10"/>
        <v>6년 11개월</v>
      </c>
      <c r="AE197" s="39">
        <f ca="1">(재직자!$AL$1-J197)/30</f>
        <v>90.166666666666671</v>
      </c>
      <c r="AF197" s="39" t="str">
        <f t="shared" ca="1" si="11"/>
        <v>7년 6개월</v>
      </c>
      <c r="AG197" s="39">
        <f t="shared" ca="1" si="12"/>
        <v>173.16666666666669</v>
      </c>
      <c r="AH197" s="39" t="str">
        <f t="shared" ca="1" si="13"/>
        <v>14년 5개월</v>
      </c>
      <c r="AI197" s="43" t="s">
        <v>1715</v>
      </c>
      <c r="AJ197" s="33" t="s">
        <v>1716</v>
      </c>
      <c r="AK197" s="62" t="s">
        <v>1717</v>
      </c>
      <c r="AL197" s="37"/>
      <c r="AM197" s="37" t="s">
        <v>1718</v>
      </c>
      <c r="AN197" s="54" t="s">
        <v>1719</v>
      </c>
      <c r="AO197" s="32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</row>
    <row r="198" spans="1:54" ht="16.5" customHeight="1">
      <c r="A198" s="33" t="s">
        <v>224</v>
      </c>
      <c r="B198" s="33" t="s">
        <v>1720</v>
      </c>
      <c r="C198" s="33" t="s">
        <v>193</v>
      </c>
      <c r="D198" s="34" t="s">
        <v>1721</v>
      </c>
      <c r="E198" s="34" t="s">
        <v>34</v>
      </c>
      <c r="F198" s="34"/>
      <c r="G198" s="34" t="s">
        <v>1685</v>
      </c>
      <c r="H198" s="34"/>
      <c r="I198" s="35" t="s">
        <v>1722</v>
      </c>
      <c r="J198" s="36">
        <v>43521</v>
      </c>
      <c r="K198" s="36"/>
      <c r="L198" s="36">
        <v>43551</v>
      </c>
      <c r="M198" s="37" t="s">
        <v>153</v>
      </c>
      <c r="N198" s="37" t="s">
        <v>506</v>
      </c>
      <c r="O198" s="38" t="s">
        <v>389</v>
      </c>
      <c r="P198" s="38" t="s">
        <v>964</v>
      </c>
      <c r="Q198" s="37" t="s">
        <v>209</v>
      </c>
      <c r="R198" s="36">
        <v>38042</v>
      </c>
      <c r="S198" s="37"/>
      <c r="T198" s="36"/>
      <c r="U198" s="37"/>
      <c r="V198" s="36"/>
      <c r="W198" s="37"/>
      <c r="X198" s="36"/>
      <c r="Y198" s="37"/>
      <c r="Z198" s="37"/>
      <c r="AA198" s="36"/>
      <c r="AB198" s="37"/>
      <c r="AC198" s="39">
        <v>177</v>
      </c>
      <c r="AD198" s="38" t="str">
        <f t="shared" si="10"/>
        <v>14년 9개월</v>
      </c>
      <c r="AE198" s="39">
        <f ca="1">(재직자!$AL$1-J198)/30</f>
        <v>86.433333333333337</v>
      </c>
      <c r="AF198" s="39" t="str">
        <f t="shared" ca="1" si="11"/>
        <v>7년 2개월</v>
      </c>
      <c r="AG198" s="39">
        <f t="shared" ca="1" si="12"/>
        <v>263.43333333333334</v>
      </c>
      <c r="AH198" s="39" t="str">
        <f t="shared" ca="1" si="13"/>
        <v>21년 11개월</v>
      </c>
      <c r="AI198" s="43" t="s">
        <v>1723</v>
      </c>
      <c r="AJ198" s="33" t="s">
        <v>1724</v>
      </c>
      <c r="AK198" s="62" t="s">
        <v>1725</v>
      </c>
      <c r="AL198" s="67"/>
      <c r="AM198" s="37" t="s">
        <v>1726</v>
      </c>
      <c r="AN198" s="54" t="s">
        <v>1727</v>
      </c>
      <c r="AO198" s="32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</row>
    <row r="199" spans="1:54" ht="16.5" customHeight="1">
      <c r="A199" s="33" t="s">
        <v>216</v>
      </c>
      <c r="B199" s="33" t="s">
        <v>1728</v>
      </c>
      <c r="C199" s="33" t="s">
        <v>226</v>
      </c>
      <c r="D199" s="34" t="s">
        <v>531</v>
      </c>
      <c r="E199" s="34" t="s">
        <v>139</v>
      </c>
      <c r="F199" s="34" t="s">
        <v>1729</v>
      </c>
      <c r="G199" s="34" t="s">
        <v>1644</v>
      </c>
      <c r="H199" s="34"/>
      <c r="I199" s="35" t="s">
        <v>532</v>
      </c>
      <c r="J199" s="36">
        <v>42644</v>
      </c>
      <c r="K199" s="36"/>
      <c r="L199" s="36">
        <v>43581</v>
      </c>
      <c r="M199" s="37" t="s">
        <v>196</v>
      </c>
      <c r="N199" s="37" t="s">
        <v>318</v>
      </c>
      <c r="O199" s="38" t="s">
        <v>533</v>
      </c>
      <c r="P199" s="38" t="s">
        <v>711</v>
      </c>
      <c r="Q199" s="37" t="s">
        <v>198</v>
      </c>
      <c r="R199" s="36"/>
      <c r="S199" s="37"/>
      <c r="T199" s="36"/>
      <c r="U199" s="37"/>
      <c r="V199" s="36"/>
      <c r="W199" s="37"/>
      <c r="X199" s="36"/>
      <c r="Y199" s="37" t="s">
        <v>199</v>
      </c>
      <c r="Z199" s="37"/>
      <c r="AA199" s="36"/>
      <c r="AB199" s="37"/>
      <c r="AC199" s="39">
        <v>264</v>
      </c>
      <c r="AD199" s="38" t="str">
        <f t="shared" si="10"/>
        <v>22년 0개월</v>
      </c>
      <c r="AE199" s="39">
        <f ca="1">(재직자!$AL$1-J199)/30</f>
        <v>115.66666666666667</v>
      </c>
      <c r="AF199" s="39" t="str">
        <f t="shared" ca="1" si="11"/>
        <v>9년 7개월</v>
      </c>
      <c r="AG199" s="39">
        <f t="shared" ca="1" si="12"/>
        <v>379.66666666666669</v>
      </c>
      <c r="AH199" s="39" t="str">
        <f t="shared" ca="1" si="13"/>
        <v>31년 7개월</v>
      </c>
      <c r="AI199" s="43" t="s">
        <v>1730</v>
      </c>
      <c r="AJ199" s="33" t="s">
        <v>534</v>
      </c>
      <c r="AK199" s="62" t="s">
        <v>535</v>
      </c>
      <c r="AL199" s="37"/>
      <c r="AM199" s="37" t="s">
        <v>1731</v>
      </c>
      <c r="AN199" s="54" t="s">
        <v>1732</v>
      </c>
      <c r="AO199" s="32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</row>
    <row r="200" spans="1:54" ht="15" customHeight="1">
      <c r="A200" s="33" t="s">
        <v>155</v>
      </c>
      <c r="B200" s="37">
        <v>140101</v>
      </c>
      <c r="C200" s="37" t="s">
        <v>193</v>
      </c>
      <c r="D200" s="37" t="s">
        <v>1733</v>
      </c>
      <c r="E200" s="37" t="s">
        <v>228</v>
      </c>
      <c r="F200" s="38" t="s">
        <v>1734</v>
      </c>
      <c r="G200" s="37" t="s">
        <v>1644</v>
      </c>
      <c r="H200" s="37"/>
      <c r="I200" s="37" t="s">
        <v>1735</v>
      </c>
      <c r="J200" s="36">
        <v>41641</v>
      </c>
      <c r="K200" s="36">
        <v>42826</v>
      </c>
      <c r="L200" s="36">
        <v>43585</v>
      </c>
      <c r="M200" s="37" t="s">
        <v>153</v>
      </c>
      <c r="N200" s="37" t="s">
        <v>1736</v>
      </c>
      <c r="O200" s="37" t="s">
        <v>457</v>
      </c>
      <c r="P200" s="37"/>
      <c r="Q200" s="37" t="s">
        <v>209</v>
      </c>
      <c r="R200" s="36">
        <v>40594</v>
      </c>
      <c r="S200" s="37"/>
      <c r="T200" s="37"/>
      <c r="U200" s="37"/>
      <c r="V200" s="37"/>
      <c r="W200" s="37"/>
      <c r="X200" s="37"/>
      <c r="Y200" s="37" t="s">
        <v>199</v>
      </c>
      <c r="Z200" s="37"/>
      <c r="AA200" s="37"/>
      <c r="AB200" s="37"/>
      <c r="AC200" s="39">
        <v>133</v>
      </c>
      <c r="AD200" s="37" t="str">
        <f t="shared" si="10"/>
        <v>11년 1개월</v>
      </c>
      <c r="AE200" s="39">
        <f ca="1">(재직자!$AL$1-J200)/30</f>
        <v>149.1</v>
      </c>
      <c r="AF200" s="37" t="str">
        <f t="shared" ca="1" si="11"/>
        <v>12년 5개월</v>
      </c>
      <c r="AG200" s="39">
        <f t="shared" ca="1" si="12"/>
        <v>282.10000000000002</v>
      </c>
      <c r="AH200" s="37" t="str">
        <f t="shared" ca="1" si="13"/>
        <v>23년 6개월</v>
      </c>
      <c r="AI200" s="44" t="s">
        <v>1737</v>
      </c>
      <c r="AJ200" s="37" t="s">
        <v>1738</v>
      </c>
      <c r="AK200" s="50" t="s">
        <v>392</v>
      </c>
      <c r="AL200" s="37"/>
      <c r="AM200" s="37" t="s">
        <v>1739</v>
      </c>
      <c r="AN200" s="54" t="s">
        <v>1740</v>
      </c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</row>
    <row r="201" spans="1:54" ht="15" customHeight="1">
      <c r="A201" s="33" t="s">
        <v>444</v>
      </c>
      <c r="B201" s="33" t="s">
        <v>1741</v>
      </c>
      <c r="C201" s="33" t="s">
        <v>226</v>
      </c>
      <c r="D201" s="34" t="s">
        <v>1742</v>
      </c>
      <c r="E201" s="34" t="s">
        <v>228</v>
      </c>
      <c r="F201" s="38"/>
      <c r="G201" s="34" t="s">
        <v>120</v>
      </c>
      <c r="H201" s="34"/>
      <c r="I201" s="35" t="s">
        <v>1743</v>
      </c>
      <c r="J201" s="36">
        <v>43374</v>
      </c>
      <c r="K201" s="36"/>
      <c r="L201" s="36">
        <v>43595</v>
      </c>
      <c r="M201" s="37" t="s">
        <v>153</v>
      </c>
      <c r="N201" s="37" t="s">
        <v>1234</v>
      </c>
      <c r="O201" s="38" t="s">
        <v>413</v>
      </c>
      <c r="P201" s="38" t="s">
        <v>964</v>
      </c>
      <c r="Q201" s="37" t="s">
        <v>209</v>
      </c>
      <c r="R201" s="36"/>
      <c r="S201" s="37" t="s">
        <v>275</v>
      </c>
      <c r="T201" s="36">
        <v>37492</v>
      </c>
      <c r="U201" s="37"/>
      <c r="V201" s="36"/>
      <c r="W201" s="37"/>
      <c r="X201" s="37"/>
      <c r="Y201" s="37"/>
      <c r="Z201" s="37"/>
      <c r="AA201" s="36"/>
      <c r="AB201" s="37"/>
      <c r="AC201" s="39">
        <v>172</v>
      </c>
      <c r="AD201" s="38" t="str">
        <f t="shared" si="10"/>
        <v>14년 4개월</v>
      </c>
      <c r="AE201" s="39">
        <f ca="1">(재직자!$AL$1-J201)/30</f>
        <v>91.333333333333329</v>
      </c>
      <c r="AF201" s="39" t="str">
        <f t="shared" ca="1" si="11"/>
        <v>7년 7개월</v>
      </c>
      <c r="AG201" s="39">
        <f t="shared" ca="1" si="12"/>
        <v>263.33333333333331</v>
      </c>
      <c r="AH201" s="39" t="str">
        <f t="shared" ca="1" si="13"/>
        <v>21년 11개월</v>
      </c>
      <c r="AI201" s="43" t="s">
        <v>1744</v>
      </c>
      <c r="AJ201" s="33" t="s">
        <v>1745</v>
      </c>
      <c r="AK201" s="50" t="s">
        <v>1746</v>
      </c>
      <c r="AL201" s="37"/>
      <c r="AM201" s="37" t="s">
        <v>1747</v>
      </c>
      <c r="AN201" s="54" t="s">
        <v>1748</v>
      </c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</row>
    <row r="202" spans="1:54" ht="16.5" customHeight="1">
      <c r="A202" s="33" t="s">
        <v>633</v>
      </c>
      <c r="B202" s="33" t="s">
        <v>1749</v>
      </c>
      <c r="C202" s="33" t="s">
        <v>193</v>
      </c>
      <c r="D202" s="34" t="s">
        <v>1750</v>
      </c>
      <c r="E202" s="34" t="s">
        <v>228</v>
      </c>
      <c r="F202" s="34" t="s">
        <v>1751</v>
      </c>
      <c r="G202" s="34" t="s">
        <v>1644</v>
      </c>
      <c r="H202" s="34"/>
      <c r="I202" s="35" t="s">
        <v>1752</v>
      </c>
      <c r="J202" s="36">
        <v>43514</v>
      </c>
      <c r="K202" s="36"/>
      <c r="L202" s="36">
        <v>43602</v>
      </c>
      <c r="M202" s="37" t="s">
        <v>153</v>
      </c>
      <c r="N202" s="37" t="s">
        <v>1753</v>
      </c>
      <c r="O202" s="38" t="s">
        <v>457</v>
      </c>
      <c r="P202" s="38" t="s">
        <v>1433</v>
      </c>
      <c r="Q202" s="37" t="s">
        <v>209</v>
      </c>
      <c r="R202" s="36"/>
      <c r="S202" s="37" t="s">
        <v>275</v>
      </c>
      <c r="T202" s="36">
        <v>40704</v>
      </c>
      <c r="U202" s="37"/>
      <c r="V202" s="36"/>
      <c r="W202" s="37"/>
      <c r="X202" s="36"/>
      <c r="Y202" s="37"/>
      <c r="Z202" s="37"/>
      <c r="AA202" s="36"/>
      <c r="AB202" s="37"/>
      <c r="AC202" s="39">
        <v>181</v>
      </c>
      <c r="AD202" s="38" t="str">
        <f t="shared" si="10"/>
        <v>15년 1개월</v>
      </c>
      <c r="AE202" s="39">
        <f ca="1">(재직자!$AL$1-J202)/30</f>
        <v>86.666666666666671</v>
      </c>
      <c r="AF202" s="39" t="str">
        <f t="shared" ca="1" si="11"/>
        <v>7년 2개월</v>
      </c>
      <c r="AG202" s="39">
        <f t="shared" ca="1" si="12"/>
        <v>267.66666666666669</v>
      </c>
      <c r="AH202" s="39" t="str">
        <f t="shared" ca="1" si="13"/>
        <v>22년 3개월</v>
      </c>
      <c r="AI202" s="43" t="s">
        <v>1754</v>
      </c>
      <c r="AJ202" s="33" t="s">
        <v>1755</v>
      </c>
      <c r="AK202" s="62" t="s">
        <v>1756</v>
      </c>
      <c r="AL202" s="67"/>
      <c r="AM202" s="37" t="s">
        <v>1757</v>
      </c>
      <c r="AN202" s="54" t="s">
        <v>1758</v>
      </c>
      <c r="AO202" s="32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</row>
    <row r="203" spans="1:54" ht="16.5" customHeight="1">
      <c r="A203" s="33" t="s">
        <v>536</v>
      </c>
      <c r="B203" s="33" t="s">
        <v>1759</v>
      </c>
      <c r="C203" s="33" t="s">
        <v>226</v>
      </c>
      <c r="D203" s="34" t="s">
        <v>1760</v>
      </c>
      <c r="E203" s="34" t="s">
        <v>44</v>
      </c>
      <c r="F203" s="34"/>
      <c r="G203" s="34" t="s">
        <v>463</v>
      </c>
      <c r="H203" s="34"/>
      <c r="I203" s="35" t="s">
        <v>1761</v>
      </c>
      <c r="J203" s="36">
        <v>43188</v>
      </c>
      <c r="K203" s="36"/>
      <c r="L203" s="36">
        <v>43686</v>
      </c>
      <c r="M203" s="37" t="s">
        <v>153</v>
      </c>
      <c r="N203" s="37" t="s">
        <v>1762</v>
      </c>
      <c r="O203" s="38" t="s">
        <v>607</v>
      </c>
      <c r="P203" s="38"/>
      <c r="Q203" s="37" t="s">
        <v>209</v>
      </c>
      <c r="R203" s="36">
        <v>42244</v>
      </c>
      <c r="S203" s="37"/>
      <c r="T203" s="36"/>
      <c r="U203" s="37"/>
      <c r="V203" s="36"/>
      <c r="W203" s="37"/>
      <c r="X203" s="36"/>
      <c r="Y203" s="37"/>
      <c r="Z203" s="37"/>
      <c r="AA203" s="36"/>
      <c r="AB203" s="37"/>
      <c r="AC203" s="39">
        <v>57</v>
      </c>
      <c r="AD203" s="38" t="str">
        <f t="shared" si="10"/>
        <v>4년 9개월</v>
      </c>
      <c r="AE203" s="39">
        <f ca="1">(재직자!$AL$1-J203)/30</f>
        <v>97.533333333333331</v>
      </c>
      <c r="AF203" s="39" t="str">
        <f t="shared" ca="1" si="11"/>
        <v>8년 1개월</v>
      </c>
      <c r="AG203" s="39">
        <f t="shared" ca="1" si="12"/>
        <v>154.53333333333333</v>
      </c>
      <c r="AH203" s="39" t="str">
        <f t="shared" ca="1" si="13"/>
        <v>12년 10개월</v>
      </c>
      <c r="AI203" s="43" t="s">
        <v>1763</v>
      </c>
      <c r="AJ203" s="33" t="s">
        <v>1764</v>
      </c>
      <c r="AK203" s="62" t="s">
        <v>1765</v>
      </c>
      <c r="AL203" s="37"/>
      <c r="AM203" s="37" t="s">
        <v>1766</v>
      </c>
      <c r="AN203" s="54" t="s">
        <v>1732</v>
      </c>
      <c r="AO203" s="32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</row>
    <row r="204" spans="1:54" ht="16.5" customHeight="1">
      <c r="A204" s="33" t="s">
        <v>301</v>
      </c>
      <c r="B204" s="33" t="s">
        <v>1767</v>
      </c>
      <c r="C204" s="33" t="s">
        <v>226</v>
      </c>
      <c r="D204" s="34" t="s">
        <v>1768</v>
      </c>
      <c r="E204" s="34" t="s">
        <v>88</v>
      </c>
      <c r="F204" s="34"/>
      <c r="G204" s="34" t="s">
        <v>120</v>
      </c>
      <c r="H204" s="34"/>
      <c r="I204" s="35" t="s">
        <v>1769</v>
      </c>
      <c r="J204" s="36">
        <v>43580</v>
      </c>
      <c r="K204" s="36"/>
      <c r="L204" s="36">
        <v>43693</v>
      </c>
      <c r="M204" s="37" t="s">
        <v>153</v>
      </c>
      <c r="N204" s="37" t="s">
        <v>982</v>
      </c>
      <c r="O204" s="38" t="s">
        <v>1770</v>
      </c>
      <c r="P204" s="38" t="s">
        <v>711</v>
      </c>
      <c r="Q204" s="37" t="s">
        <v>209</v>
      </c>
      <c r="R204" s="36"/>
      <c r="S204" s="37"/>
      <c r="T204" s="36"/>
      <c r="U204" s="37"/>
      <c r="V204" s="36"/>
      <c r="W204" s="37"/>
      <c r="X204" s="36"/>
      <c r="Y204" s="37"/>
      <c r="Z204" s="37"/>
      <c r="AA204" s="36"/>
      <c r="AB204" s="37"/>
      <c r="AC204" s="39">
        <v>81</v>
      </c>
      <c r="AD204" s="38" t="str">
        <f t="shared" si="10"/>
        <v>6년 9개월</v>
      </c>
      <c r="AE204" s="39">
        <f ca="1">(재직자!$AL$1-J204)/30</f>
        <v>84.466666666666669</v>
      </c>
      <c r="AF204" s="39" t="str">
        <f t="shared" ca="1" si="11"/>
        <v>7년 0개월</v>
      </c>
      <c r="AG204" s="39">
        <f t="shared" ca="1" si="12"/>
        <v>165.46666666666667</v>
      </c>
      <c r="AH204" s="39" t="str">
        <f t="shared" ca="1" si="13"/>
        <v>13년 9개월</v>
      </c>
      <c r="AI204" s="43" t="s">
        <v>1771</v>
      </c>
      <c r="AJ204" s="33" t="s">
        <v>1772</v>
      </c>
      <c r="AK204" s="62" t="s">
        <v>1773</v>
      </c>
      <c r="AL204" s="67"/>
      <c r="AM204" s="37" t="s">
        <v>1774</v>
      </c>
      <c r="AN204" s="54" t="s">
        <v>1775</v>
      </c>
      <c r="AO204" s="32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</row>
    <row r="205" spans="1:54" ht="16.5" customHeight="1">
      <c r="A205" s="33" t="s">
        <v>216</v>
      </c>
      <c r="B205" s="33" t="s">
        <v>1776</v>
      </c>
      <c r="C205" s="33" t="s">
        <v>226</v>
      </c>
      <c r="D205" s="34" t="s">
        <v>1777</v>
      </c>
      <c r="E205" s="34" t="s">
        <v>139</v>
      </c>
      <c r="F205" s="34" t="s">
        <v>1778</v>
      </c>
      <c r="G205" s="34" t="s">
        <v>1644</v>
      </c>
      <c r="H205" s="34"/>
      <c r="I205" s="35" t="s">
        <v>1779</v>
      </c>
      <c r="J205" s="36">
        <v>42793</v>
      </c>
      <c r="K205" s="36"/>
      <c r="L205" s="36">
        <v>43769</v>
      </c>
      <c r="M205" s="37" t="s">
        <v>153</v>
      </c>
      <c r="N205" s="37" t="s">
        <v>1019</v>
      </c>
      <c r="O205" s="38" t="s">
        <v>1780</v>
      </c>
      <c r="P205" s="38" t="s">
        <v>711</v>
      </c>
      <c r="Q205" s="37" t="s">
        <v>209</v>
      </c>
      <c r="R205" s="36">
        <v>34026</v>
      </c>
      <c r="S205" s="37"/>
      <c r="T205" s="36"/>
      <c r="U205" s="37"/>
      <c r="V205" s="36"/>
      <c r="W205" s="37"/>
      <c r="X205" s="36"/>
      <c r="Y205" s="37" t="s">
        <v>199</v>
      </c>
      <c r="Z205" s="37"/>
      <c r="AA205" s="36"/>
      <c r="AB205" s="37"/>
      <c r="AC205" s="39"/>
      <c r="AD205" s="38" t="str">
        <f t="shared" si="10"/>
        <v>0년 0개월</v>
      </c>
      <c r="AE205" s="39">
        <f ca="1">(재직자!$AL$1-J205)/30</f>
        <v>110.7</v>
      </c>
      <c r="AF205" s="39" t="str">
        <f t="shared" ca="1" si="11"/>
        <v>9년 2개월</v>
      </c>
      <c r="AG205" s="39">
        <f t="shared" ca="1" si="12"/>
        <v>110.7</v>
      </c>
      <c r="AH205" s="39" t="str">
        <f t="shared" ca="1" si="13"/>
        <v>9년 2개월</v>
      </c>
      <c r="AI205" s="43" t="s">
        <v>1781</v>
      </c>
      <c r="AJ205" s="33" t="s">
        <v>1782</v>
      </c>
      <c r="AK205" s="62" t="s">
        <v>1783</v>
      </c>
      <c r="AL205" s="37"/>
      <c r="AM205" s="37"/>
      <c r="AN205" s="54"/>
      <c r="AO205" s="32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</row>
    <row r="206" spans="1:54" ht="16.5" customHeight="1">
      <c r="A206" s="33" t="s">
        <v>444</v>
      </c>
      <c r="B206" s="33" t="s">
        <v>1784</v>
      </c>
      <c r="C206" s="33" t="s">
        <v>226</v>
      </c>
      <c r="D206" s="34" t="s">
        <v>462</v>
      </c>
      <c r="E206" s="34" t="s">
        <v>44</v>
      </c>
      <c r="F206" s="34"/>
      <c r="G206" s="34" t="s">
        <v>463</v>
      </c>
      <c r="H206" s="34"/>
      <c r="I206" s="35" t="s">
        <v>464</v>
      </c>
      <c r="J206" s="36">
        <v>43374</v>
      </c>
      <c r="K206" s="36"/>
      <c r="L206" s="36">
        <v>43769</v>
      </c>
      <c r="M206" s="37" t="s">
        <v>146</v>
      </c>
      <c r="N206" s="37" t="s">
        <v>465</v>
      </c>
      <c r="O206" s="38" t="s">
        <v>466</v>
      </c>
      <c r="P206" s="38" t="s">
        <v>964</v>
      </c>
      <c r="Q206" s="37" t="s">
        <v>265</v>
      </c>
      <c r="R206" s="36"/>
      <c r="S206" s="37"/>
      <c r="T206" s="36"/>
      <c r="U206" s="37"/>
      <c r="V206" s="36"/>
      <c r="W206" s="37"/>
      <c r="X206" s="36"/>
      <c r="Y206" s="37"/>
      <c r="Z206" s="37"/>
      <c r="AA206" s="36"/>
      <c r="AB206" s="37"/>
      <c r="AC206" s="39">
        <v>107</v>
      </c>
      <c r="AD206" s="38" t="str">
        <f t="shared" si="10"/>
        <v>8년 11개월</v>
      </c>
      <c r="AE206" s="39">
        <f ca="1">(재직자!$AL$1-J206)/30</f>
        <v>91.333333333333329</v>
      </c>
      <c r="AF206" s="39" t="str">
        <f t="shared" ca="1" si="11"/>
        <v>7년 7개월</v>
      </c>
      <c r="AG206" s="39">
        <f t="shared" ca="1" si="12"/>
        <v>198.33333333333331</v>
      </c>
      <c r="AH206" s="39" t="str">
        <f t="shared" ca="1" si="13"/>
        <v>16년 6개월</v>
      </c>
      <c r="AI206" s="43" t="s">
        <v>1785</v>
      </c>
      <c r="AJ206" s="33" t="s">
        <v>468</v>
      </c>
      <c r="AK206" s="62" t="s">
        <v>469</v>
      </c>
      <c r="AL206" s="37"/>
      <c r="AM206" s="37" t="s">
        <v>1786</v>
      </c>
      <c r="AN206" s="54" t="s">
        <v>1787</v>
      </c>
      <c r="AO206" s="32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</row>
    <row r="207" spans="1:54" ht="16.5" customHeight="1">
      <c r="A207" s="33" t="s">
        <v>680</v>
      </c>
      <c r="B207" s="33" t="s">
        <v>1788</v>
      </c>
      <c r="C207" s="33" t="s">
        <v>193</v>
      </c>
      <c r="D207" s="34" t="s">
        <v>1789</v>
      </c>
      <c r="E207" s="34" t="s">
        <v>139</v>
      </c>
      <c r="F207" s="34"/>
      <c r="G207" s="34" t="s">
        <v>1790</v>
      </c>
      <c r="H207" s="34"/>
      <c r="I207" s="35" t="s">
        <v>1791</v>
      </c>
      <c r="J207" s="36">
        <v>43486</v>
      </c>
      <c r="K207" s="36"/>
      <c r="L207" s="36">
        <v>43784</v>
      </c>
      <c r="M207" s="37" t="s">
        <v>153</v>
      </c>
      <c r="N207" s="37" t="s">
        <v>1792</v>
      </c>
      <c r="O207" s="38" t="s">
        <v>1793</v>
      </c>
      <c r="P207" s="38" t="s">
        <v>1794</v>
      </c>
      <c r="Q207" s="37" t="s">
        <v>209</v>
      </c>
      <c r="R207" s="36">
        <v>36575</v>
      </c>
      <c r="S207" s="37"/>
      <c r="T207" s="36"/>
      <c r="U207" s="37"/>
      <c r="V207" s="36"/>
      <c r="W207" s="37"/>
      <c r="X207" s="36"/>
      <c r="Y207" s="37"/>
      <c r="Z207" s="37"/>
      <c r="AA207" s="36"/>
      <c r="AB207" s="37"/>
      <c r="AC207" s="39">
        <v>133</v>
      </c>
      <c r="AD207" s="38" t="str">
        <f t="shared" si="10"/>
        <v>11년 1개월</v>
      </c>
      <c r="AE207" s="39">
        <f ca="1">(재직자!$AL$1-J207)/30</f>
        <v>87.6</v>
      </c>
      <c r="AF207" s="39" t="str">
        <f t="shared" ca="1" si="11"/>
        <v>7년 3개월</v>
      </c>
      <c r="AG207" s="39">
        <f t="shared" ca="1" si="12"/>
        <v>220.6</v>
      </c>
      <c r="AH207" s="39" t="str">
        <f t="shared" ca="1" si="13"/>
        <v>18년 4개월</v>
      </c>
      <c r="AI207" s="43" t="s">
        <v>1795</v>
      </c>
      <c r="AJ207" s="33" t="s">
        <v>1796</v>
      </c>
      <c r="AK207" s="62" t="s">
        <v>1797</v>
      </c>
      <c r="AL207" s="67"/>
      <c r="AM207" s="37" t="s">
        <v>1798</v>
      </c>
      <c r="AN207" s="54" t="s">
        <v>1799</v>
      </c>
      <c r="AO207" s="32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</row>
    <row r="208" spans="1:54" ht="15" customHeight="1">
      <c r="A208" s="33" t="s">
        <v>106</v>
      </c>
      <c r="B208" s="33" t="s">
        <v>1800</v>
      </c>
      <c r="C208" s="33" t="s">
        <v>193</v>
      </c>
      <c r="D208" s="34" t="s">
        <v>1801</v>
      </c>
      <c r="E208" s="34" t="s">
        <v>88</v>
      </c>
      <c r="F208" s="38" t="s">
        <v>1802</v>
      </c>
      <c r="G208" s="34" t="s">
        <v>1644</v>
      </c>
      <c r="H208" s="37"/>
      <c r="I208" s="35" t="s">
        <v>1803</v>
      </c>
      <c r="J208" s="36">
        <v>40595</v>
      </c>
      <c r="K208" s="36">
        <v>43313</v>
      </c>
      <c r="L208" s="36">
        <v>43830</v>
      </c>
      <c r="M208" s="37" t="s">
        <v>196</v>
      </c>
      <c r="N208" s="37" t="s">
        <v>318</v>
      </c>
      <c r="O208" s="38" t="s">
        <v>1194</v>
      </c>
      <c r="P208" s="38"/>
      <c r="Q208" s="37" t="s">
        <v>198</v>
      </c>
      <c r="R208" s="36">
        <v>43140</v>
      </c>
      <c r="S208" s="37"/>
      <c r="T208" s="36"/>
      <c r="U208" s="37" t="s">
        <v>526</v>
      </c>
      <c r="V208" s="36">
        <v>40564</v>
      </c>
      <c r="W208" s="37"/>
      <c r="X208" s="37"/>
      <c r="Y208" s="37" t="s">
        <v>210</v>
      </c>
      <c r="Z208" s="37" t="s">
        <v>211</v>
      </c>
      <c r="AA208" s="36">
        <v>41093</v>
      </c>
      <c r="AB208" s="37" t="s">
        <v>210</v>
      </c>
      <c r="AC208" s="39">
        <v>0</v>
      </c>
      <c r="AD208" s="38" t="str">
        <f t="shared" si="10"/>
        <v>0년 0개월</v>
      </c>
      <c r="AE208" s="39">
        <f ca="1">(재직자!$AL$1-J208)/30</f>
        <v>183.96666666666667</v>
      </c>
      <c r="AF208" s="39" t="str">
        <f t="shared" ca="1" si="11"/>
        <v>15년 3개월</v>
      </c>
      <c r="AG208" s="39">
        <f t="shared" ca="1" si="12"/>
        <v>183.96666666666667</v>
      </c>
      <c r="AH208" s="39" t="str">
        <f t="shared" ca="1" si="13"/>
        <v>15년 3개월</v>
      </c>
      <c r="AI208" s="43" t="s">
        <v>1804</v>
      </c>
      <c r="AJ208" s="33" t="s">
        <v>1805</v>
      </c>
      <c r="AK208" s="44" t="s">
        <v>1806</v>
      </c>
      <c r="AL208" s="37"/>
      <c r="AM208" s="37" t="s">
        <v>1807</v>
      </c>
      <c r="AN208" s="54">
        <v>10.17</v>
      </c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</row>
    <row r="209" spans="1:54" ht="16.5" customHeight="1">
      <c r="A209" s="33" t="s">
        <v>292</v>
      </c>
      <c r="B209" s="33" t="s">
        <v>1808</v>
      </c>
      <c r="C209" s="33" t="s">
        <v>226</v>
      </c>
      <c r="D209" s="34" t="s">
        <v>1809</v>
      </c>
      <c r="E209" s="34" t="s">
        <v>228</v>
      </c>
      <c r="F209" s="34"/>
      <c r="G209" s="34" t="s">
        <v>120</v>
      </c>
      <c r="H209" s="34"/>
      <c r="I209" s="35" t="s">
        <v>1810</v>
      </c>
      <c r="J209" s="36">
        <v>43696</v>
      </c>
      <c r="K209" s="36"/>
      <c r="L209" s="36">
        <v>43833</v>
      </c>
      <c r="M209" s="37" t="s">
        <v>153</v>
      </c>
      <c r="N209" s="37" t="s">
        <v>1811</v>
      </c>
      <c r="O209" s="38" t="s">
        <v>1812</v>
      </c>
      <c r="P209" s="38" t="s">
        <v>711</v>
      </c>
      <c r="Q209" s="37" t="s">
        <v>209</v>
      </c>
      <c r="R209" s="36">
        <v>42786</v>
      </c>
      <c r="S209" s="37"/>
      <c r="T209" s="36"/>
      <c r="U209" s="37"/>
      <c r="V209" s="36"/>
      <c r="W209" s="37"/>
      <c r="X209" s="36"/>
      <c r="Y209" s="37"/>
      <c r="Z209" s="37"/>
      <c r="AA209" s="36"/>
      <c r="AB209" s="37"/>
      <c r="AC209" s="39">
        <v>203</v>
      </c>
      <c r="AD209" s="38" t="str">
        <f t="shared" si="10"/>
        <v>16년 11개월</v>
      </c>
      <c r="AE209" s="39">
        <f ca="1">(재직자!$AL$1-J209)/30</f>
        <v>80.599999999999994</v>
      </c>
      <c r="AF209" s="39" t="str">
        <f t="shared" ca="1" si="11"/>
        <v>6년 8개월</v>
      </c>
      <c r="AG209" s="39">
        <f t="shared" ca="1" si="12"/>
        <v>283.60000000000002</v>
      </c>
      <c r="AH209" s="39" t="str">
        <f t="shared" ca="1" si="13"/>
        <v>23년 7개월</v>
      </c>
      <c r="AI209" s="43" t="s">
        <v>1813</v>
      </c>
      <c r="AJ209" s="33" t="s">
        <v>1814</v>
      </c>
      <c r="AK209" s="62" t="s">
        <v>1815</v>
      </c>
      <c r="AL209" s="67"/>
      <c r="AM209" s="37" t="s">
        <v>1816</v>
      </c>
      <c r="AN209" s="54" t="s">
        <v>1817</v>
      </c>
      <c r="AO209" s="32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</row>
    <row r="210" spans="1:54" ht="15" customHeight="1">
      <c r="A210" s="33" t="s">
        <v>1387</v>
      </c>
      <c r="B210" s="33" t="s">
        <v>1818</v>
      </c>
      <c r="C210" s="33" t="s">
        <v>226</v>
      </c>
      <c r="D210" s="34" t="s">
        <v>1819</v>
      </c>
      <c r="E210" s="34" t="s">
        <v>139</v>
      </c>
      <c r="F210" s="38"/>
      <c r="G210" s="34" t="s">
        <v>120</v>
      </c>
      <c r="H210" s="34"/>
      <c r="I210" s="35" t="s">
        <v>1820</v>
      </c>
      <c r="J210" s="36">
        <v>43374</v>
      </c>
      <c r="K210" s="36"/>
      <c r="L210" s="36">
        <v>43840</v>
      </c>
      <c r="M210" s="37" t="s">
        <v>153</v>
      </c>
      <c r="N210" s="37" t="s">
        <v>1019</v>
      </c>
      <c r="O210" s="38" t="s">
        <v>1821</v>
      </c>
      <c r="P210" s="38" t="s">
        <v>711</v>
      </c>
      <c r="Q210" s="37" t="s">
        <v>209</v>
      </c>
      <c r="R210" s="36">
        <v>35307</v>
      </c>
      <c r="S210" s="37"/>
      <c r="T210" s="36"/>
      <c r="U210" s="37"/>
      <c r="V210" s="36"/>
      <c r="W210" s="37"/>
      <c r="X210" s="37"/>
      <c r="Y210" s="37"/>
      <c r="Z210" s="37"/>
      <c r="AA210" s="36"/>
      <c r="AB210" s="37"/>
      <c r="AC210" s="39">
        <v>198</v>
      </c>
      <c r="AD210" s="38" t="str">
        <f t="shared" si="10"/>
        <v>16년 6개월</v>
      </c>
      <c r="AE210" s="39">
        <f ca="1">(재직자!$AL$1-J210)/30</f>
        <v>91.333333333333329</v>
      </c>
      <c r="AF210" s="39" t="str">
        <f t="shared" ca="1" si="11"/>
        <v>7년 7개월</v>
      </c>
      <c r="AG210" s="39">
        <f t="shared" ca="1" si="12"/>
        <v>289.33333333333331</v>
      </c>
      <c r="AH210" s="39" t="str">
        <f t="shared" ca="1" si="13"/>
        <v>24년 1개월</v>
      </c>
      <c r="AI210" s="43" t="s">
        <v>1822</v>
      </c>
      <c r="AJ210" s="33" t="s">
        <v>1823</v>
      </c>
      <c r="AK210" s="50" t="s">
        <v>1824</v>
      </c>
      <c r="AL210" s="37"/>
      <c r="AM210" s="37" t="s">
        <v>1825</v>
      </c>
      <c r="AN210" s="54" t="s">
        <v>1748</v>
      </c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</row>
    <row r="211" spans="1:54" ht="15" customHeight="1">
      <c r="A211" s="33" t="s">
        <v>137</v>
      </c>
      <c r="B211" s="37">
        <v>130801</v>
      </c>
      <c r="C211" s="33" t="s">
        <v>924</v>
      </c>
      <c r="D211" s="37" t="s">
        <v>1826</v>
      </c>
      <c r="E211" s="37" t="s">
        <v>88</v>
      </c>
      <c r="F211" s="38"/>
      <c r="G211" s="34" t="s">
        <v>1685</v>
      </c>
      <c r="H211" s="34" t="s">
        <v>1221</v>
      </c>
      <c r="I211" s="37" t="s">
        <v>1827</v>
      </c>
      <c r="J211" s="36">
        <v>41498</v>
      </c>
      <c r="K211" s="36">
        <v>42826</v>
      </c>
      <c r="L211" s="36">
        <v>43860</v>
      </c>
      <c r="M211" s="37" t="s">
        <v>153</v>
      </c>
      <c r="N211" s="37" t="s">
        <v>1828</v>
      </c>
      <c r="O211" s="37" t="s">
        <v>617</v>
      </c>
      <c r="P211" s="37"/>
      <c r="Q211" s="37" t="s">
        <v>209</v>
      </c>
      <c r="R211" s="36">
        <v>39862</v>
      </c>
      <c r="S211" s="37" t="s">
        <v>275</v>
      </c>
      <c r="T211" s="36">
        <v>39600</v>
      </c>
      <c r="U211" s="37"/>
      <c r="V211" s="36"/>
      <c r="W211" s="37"/>
      <c r="X211" s="37"/>
      <c r="Y211" s="37" t="s">
        <v>230</v>
      </c>
      <c r="Z211" s="37"/>
      <c r="AA211" s="37"/>
      <c r="AB211" s="37"/>
      <c r="AC211" s="39">
        <v>48</v>
      </c>
      <c r="AD211" s="37" t="str">
        <f t="shared" si="10"/>
        <v>4년 0개월</v>
      </c>
      <c r="AE211" s="39">
        <f ca="1">(재직자!$AL$1-J211)/30</f>
        <v>153.86666666666667</v>
      </c>
      <c r="AF211" s="37" t="str">
        <f t="shared" ca="1" si="11"/>
        <v>12년 9개월</v>
      </c>
      <c r="AG211" s="39">
        <f t="shared" ca="1" si="12"/>
        <v>201.86666666666667</v>
      </c>
      <c r="AH211" s="39" t="str">
        <f t="shared" ca="1" si="13"/>
        <v>16년 9개월</v>
      </c>
      <c r="AI211" s="44" t="s">
        <v>1829</v>
      </c>
      <c r="AJ211" s="37" t="s">
        <v>1830</v>
      </c>
      <c r="AK211" s="50" t="s">
        <v>1831</v>
      </c>
      <c r="AL211" s="37"/>
      <c r="AM211" s="37" t="s">
        <v>1832</v>
      </c>
      <c r="AN211" s="54">
        <v>4.1500000000000004</v>
      </c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</row>
    <row r="212" spans="1:54" ht="15" customHeight="1">
      <c r="A212" s="33" t="s">
        <v>1360</v>
      </c>
      <c r="B212" s="33" t="s">
        <v>1833</v>
      </c>
      <c r="C212" s="33" t="s">
        <v>193</v>
      </c>
      <c r="D212" s="34" t="s">
        <v>1834</v>
      </c>
      <c r="E212" s="34" t="s">
        <v>88</v>
      </c>
      <c r="F212" s="38"/>
      <c r="G212" s="34" t="s">
        <v>1644</v>
      </c>
      <c r="H212" s="34"/>
      <c r="I212" s="35" t="s">
        <v>1835</v>
      </c>
      <c r="J212" s="36">
        <v>43362</v>
      </c>
      <c r="K212" s="36"/>
      <c r="L212" s="36">
        <v>43900</v>
      </c>
      <c r="M212" s="37" t="s">
        <v>448</v>
      </c>
      <c r="N212" s="37" t="s">
        <v>1836</v>
      </c>
      <c r="O212" s="38"/>
      <c r="P212" s="38" t="s">
        <v>964</v>
      </c>
      <c r="Q212" s="37" t="s">
        <v>448</v>
      </c>
      <c r="R212" s="36">
        <v>36578</v>
      </c>
      <c r="S212" s="37"/>
      <c r="T212" s="36"/>
      <c r="U212" s="37"/>
      <c r="V212" s="36"/>
      <c r="W212" s="37"/>
      <c r="X212" s="37"/>
      <c r="Y212" s="37"/>
      <c r="Z212" s="37"/>
      <c r="AA212" s="36"/>
      <c r="AB212" s="37"/>
      <c r="AC212" s="39">
        <v>116</v>
      </c>
      <c r="AD212" s="38" t="str">
        <f t="shared" si="10"/>
        <v>9년 8개월</v>
      </c>
      <c r="AE212" s="39">
        <f ca="1">(재직자!$AL$1-J212)/30</f>
        <v>91.733333333333334</v>
      </c>
      <c r="AF212" s="39" t="str">
        <f t="shared" ca="1" si="11"/>
        <v>7년 7개월</v>
      </c>
      <c r="AG212" s="39">
        <f t="shared" ca="1" si="12"/>
        <v>207.73333333333335</v>
      </c>
      <c r="AH212" s="39" t="str">
        <f t="shared" ca="1" si="13"/>
        <v>17년 3개월</v>
      </c>
      <c r="AI212" s="43" t="s">
        <v>1837</v>
      </c>
      <c r="AJ212" s="33" t="s">
        <v>1838</v>
      </c>
      <c r="AK212" s="50" t="s">
        <v>1839</v>
      </c>
      <c r="AL212" s="37"/>
      <c r="AM212" s="37" t="s">
        <v>1825</v>
      </c>
      <c r="AN212" s="54" t="s">
        <v>1748</v>
      </c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</row>
    <row r="213" spans="1:54" ht="15" customHeight="1">
      <c r="A213" s="33" t="s">
        <v>129</v>
      </c>
      <c r="B213" s="37">
        <v>121101</v>
      </c>
      <c r="C213" s="37" t="s">
        <v>193</v>
      </c>
      <c r="D213" s="37" t="s">
        <v>1840</v>
      </c>
      <c r="E213" s="37" t="s">
        <v>228</v>
      </c>
      <c r="F213" s="38" t="s">
        <v>1841</v>
      </c>
      <c r="G213" s="34" t="s">
        <v>1644</v>
      </c>
      <c r="H213" s="37"/>
      <c r="I213" s="37" t="s">
        <v>1842</v>
      </c>
      <c r="J213" s="36">
        <v>41244</v>
      </c>
      <c r="K213" s="36">
        <v>42552</v>
      </c>
      <c r="L213" s="36">
        <v>43951</v>
      </c>
      <c r="M213" s="37" t="s">
        <v>196</v>
      </c>
      <c r="N213" s="37" t="s">
        <v>456</v>
      </c>
      <c r="O213" s="38" t="s">
        <v>457</v>
      </c>
      <c r="P213" s="38"/>
      <c r="Q213" s="37" t="s">
        <v>198</v>
      </c>
      <c r="R213" s="36">
        <v>36214</v>
      </c>
      <c r="S213" s="41" t="s">
        <v>275</v>
      </c>
      <c r="T213" s="36">
        <v>35247</v>
      </c>
      <c r="U213" s="41"/>
      <c r="V213" s="37"/>
      <c r="W213" s="41"/>
      <c r="X213" s="41"/>
      <c r="Y213" s="37" t="s">
        <v>199</v>
      </c>
      <c r="Z213" s="37"/>
      <c r="AA213" s="45"/>
      <c r="AB213" s="44"/>
      <c r="AC213" s="39">
        <v>167</v>
      </c>
      <c r="AD213" s="38" t="str">
        <f t="shared" si="10"/>
        <v>13년 11개월</v>
      </c>
      <c r="AE213" s="39">
        <f ca="1">(재직자!$AL$1-J213)/30</f>
        <v>162.33333333333334</v>
      </c>
      <c r="AF213" s="37" t="str">
        <f t="shared" ca="1" si="11"/>
        <v>13년 6개월</v>
      </c>
      <c r="AG213" s="39">
        <f t="shared" ca="1" si="12"/>
        <v>329.33333333333337</v>
      </c>
      <c r="AH213" s="37" t="str">
        <f t="shared" ca="1" si="13"/>
        <v>27년 5개월</v>
      </c>
      <c r="AI213" s="44" t="s">
        <v>1843</v>
      </c>
      <c r="AJ213" s="37" t="s">
        <v>1844</v>
      </c>
      <c r="AK213" s="50" t="s">
        <v>1845</v>
      </c>
      <c r="AL213" s="37"/>
      <c r="AM213" s="37" t="s">
        <v>1846</v>
      </c>
      <c r="AN213" s="54">
        <v>3.01</v>
      </c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</row>
    <row r="214" spans="1:54" ht="16.5" customHeight="1">
      <c r="A214" s="33" t="s">
        <v>672</v>
      </c>
      <c r="B214" s="33" t="s">
        <v>1847</v>
      </c>
      <c r="C214" s="33" t="s">
        <v>193</v>
      </c>
      <c r="D214" s="34" t="s">
        <v>1848</v>
      </c>
      <c r="E214" s="34" t="s">
        <v>34</v>
      </c>
      <c r="F214" s="34"/>
      <c r="G214" s="34" t="s">
        <v>1644</v>
      </c>
      <c r="H214" s="34"/>
      <c r="I214" s="35" t="s">
        <v>1849</v>
      </c>
      <c r="J214" s="36">
        <v>42984</v>
      </c>
      <c r="K214" s="36"/>
      <c r="L214" s="36">
        <v>43951</v>
      </c>
      <c r="M214" s="37" t="s">
        <v>153</v>
      </c>
      <c r="N214" s="37" t="s">
        <v>1092</v>
      </c>
      <c r="O214" s="38" t="s">
        <v>1850</v>
      </c>
      <c r="P214" s="38" t="s">
        <v>711</v>
      </c>
      <c r="Q214" s="37" t="s">
        <v>209</v>
      </c>
      <c r="R214" s="36">
        <v>38042</v>
      </c>
      <c r="S214" s="37" t="s">
        <v>275</v>
      </c>
      <c r="T214" s="36">
        <v>38869</v>
      </c>
      <c r="U214" s="37"/>
      <c r="V214" s="36"/>
      <c r="W214" s="37"/>
      <c r="X214" s="36"/>
      <c r="Y214" s="37"/>
      <c r="Z214" s="37"/>
      <c r="AA214" s="36"/>
      <c r="AB214" s="37"/>
      <c r="AC214" s="39">
        <v>125</v>
      </c>
      <c r="AD214" s="38" t="str">
        <f t="shared" si="10"/>
        <v>10년 5개월</v>
      </c>
      <c r="AE214" s="39">
        <f ca="1">(재직자!$AL$1-J214)/30</f>
        <v>104.33333333333333</v>
      </c>
      <c r="AF214" s="39" t="str">
        <f t="shared" ca="1" si="11"/>
        <v>8년 8개월</v>
      </c>
      <c r="AG214" s="39">
        <f t="shared" ca="1" si="12"/>
        <v>229.33333333333331</v>
      </c>
      <c r="AH214" s="39" t="str">
        <f t="shared" ca="1" si="13"/>
        <v>19년 1개월</v>
      </c>
      <c r="AI214" s="43" t="s">
        <v>1851</v>
      </c>
      <c r="AJ214" s="33" t="s">
        <v>1852</v>
      </c>
      <c r="AK214" s="62" t="s">
        <v>1853</v>
      </c>
      <c r="AL214" s="37"/>
      <c r="AM214" s="37" t="s">
        <v>1854</v>
      </c>
      <c r="AN214" s="54"/>
      <c r="AO214" s="32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</row>
    <row r="215" spans="1:54" ht="16.5" customHeight="1">
      <c r="A215" s="33" t="s">
        <v>1242</v>
      </c>
      <c r="B215" s="33" t="s">
        <v>1855</v>
      </c>
      <c r="C215" s="33" t="s">
        <v>193</v>
      </c>
      <c r="D215" s="34" t="s">
        <v>1856</v>
      </c>
      <c r="E215" s="34" t="s">
        <v>228</v>
      </c>
      <c r="F215" s="34"/>
      <c r="G215" s="34" t="s">
        <v>1644</v>
      </c>
      <c r="H215" s="34"/>
      <c r="I215" s="35" t="s">
        <v>1857</v>
      </c>
      <c r="J215" s="36">
        <v>43510</v>
      </c>
      <c r="K215" s="36"/>
      <c r="L215" s="36">
        <v>43951</v>
      </c>
      <c r="M215" s="37" t="s">
        <v>153</v>
      </c>
      <c r="N215" s="37" t="s">
        <v>1858</v>
      </c>
      <c r="O215" s="38" t="s">
        <v>1859</v>
      </c>
      <c r="P215" s="38" t="s">
        <v>964</v>
      </c>
      <c r="Q215" s="37" t="s">
        <v>209</v>
      </c>
      <c r="R215" s="36">
        <v>37306</v>
      </c>
      <c r="S215" s="37" t="s">
        <v>1860</v>
      </c>
      <c r="T215" s="36">
        <v>43238</v>
      </c>
      <c r="U215" s="37" t="s">
        <v>1861</v>
      </c>
      <c r="V215" s="36">
        <v>43383</v>
      </c>
      <c r="W215" s="37" t="s">
        <v>1862</v>
      </c>
      <c r="X215" s="36">
        <v>40973</v>
      </c>
      <c r="Y215" s="37"/>
      <c r="Z215" s="37"/>
      <c r="AA215" s="36"/>
      <c r="AB215" s="37"/>
      <c r="AC215" s="39">
        <v>168</v>
      </c>
      <c r="AD215" s="38" t="str">
        <f t="shared" si="10"/>
        <v>14년 0개월</v>
      </c>
      <c r="AE215" s="39">
        <f ca="1">(재직자!$AL$1-J215)/30</f>
        <v>86.8</v>
      </c>
      <c r="AF215" s="39" t="str">
        <f t="shared" ca="1" si="11"/>
        <v>7년 2개월</v>
      </c>
      <c r="AG215" s="39">
        <f t="shared" ca="1" si="12"/>
        <v>254.8</v>
      </c>
      <c r="AH215" s="39" t="str">
        <f t="shared" ca="1" si="13"/>
        <v>21년 2개월</v>
      </c>
      <c r="AI215" s="43" t="s">
        <v>1863</v>
      </c>
      <c r="AJ215" s="33" t="s">
        <v>1864</v>
      </c>
      <c r="AK215" s="62" t="s">
        <v>1865</v>
      </c>
      <c r="AL215" s="67"/>
      <c r="AM215" s="37" t="s">
        <v>1866</v>
      </c>
      <c r="AN215" s="54" t="s">
        <v>1007</v>
      </c>
      <c r="AO215" s="32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</row>
    <row r="216" spans="1:54" ht="16.5" customHeight="1">
      <c r="A216" s="33" t="s">
        <v>672</v>
      </c>
      <c r="B216" s="33" t="s">
        <v>1867</v>
      </c>
      <c r="C216" s="33" t="s">
        <v>226</v>
      </c>
      <c r="D216" s="34" t="s">
        <v>1868</v>
      </c>
      <c r="E216" s="34" t="s">
        <v>88</v>
      </c>
      <c r="F216" s="34" t="s">
        <v>1869</v>
      </c>
      <c r="G216" s="34" t="s">
        <v>1644</v>
      </c>
      <c r="H216" s="34"/>
      <c r="I216" s="35" t="s">
        <v>1870</v>
      </c>
      <c r="J216" s="36">
        <v>43095</v>
      </c>
      <c r="K216" s="36"/>
      <c r="L216" s="36">
        <v>43982</v>
      </c>
      <c r="M216" s="37" t="s">
        <v>146</v>
      </c>
      <c r="N216" s="37" t="s">
        <v>1871</v>
      </c>
      <c r="O216" s="38" t="s">
        <v>1872</v>
      </c>
      <c r="P216" s="38" t="s">
        <v>1873</v>
      </c>
      <c r="Q216" s="37" t="s">
        <v>265</v>
      </c>
      <c r="R216" s="36">
        <v>38037</v>
      </c>
      <c r="S216" s="37"/>
      <c r="T216" s="36"/>
      <c r="U216" s="37"/>
      <c r="V216" s="36"/>
      <c r="W216" s="37"/>
      <c r="X216" s="36"/>
      <c r="Y216" s="37"/>
      <c r="Z216" s="37"/>
      <c r="AA216" s="36"/>
      <c r="AB216" s="37"/>
      <c r="AC216" s="39"/>
      <c r="AD216" s="38" t="str">
        <f t="shared" si="10"/>
        <v>0년 0개월</v>
      </c>
      <c r="AE216" s="39">
        <f ca="1">(재직자!$AL$1-J216)/30</f>
        <v>100.63333333333334</v>
      </c>
      <c r="AF216" s="39" t="str">
        <f t="shared" ca="1" si="11"/>
        <v>8년 4개월</v>
      </c>
      <c r="AG216" s="39">
        <f t="shared" ca="1" si="12"/>
        <v>100.63333333333334</v>
      </c>
      <c r="AH216" s="39" t="str">
        <f t="shared" ca="1" si="13"/>
        <v>8년 4개월</v>
      </c>
      <c r="AI216" s="43" t="s">
        <v>1874</v>
      </c>
      <c r="AJ216" s="33" t="s">
        <v>1875</v>
      </c>
      <c r="AK216" s="62" t="s">
        <v>600</v>
      </c>
      <c r="AL216" s="37"/>
      <c r="AM216" s="37"/>
      <c r="AN216" s="54"/>
      <c r="AO216" s="32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</row>
    <row r="217" spans="1:54" ht="16.5" customHeight="1">
      <c r="A217" s="33" t="s">
        <v>1876</v>
      </c>
      <c r="B217" s="37">
        <v>200702</v>
      </c>
      <c r="C217" s="33" t="s">
        <v>924</v>
      </c>
      <c r="D217" s="37" t="s">
        <v>1877</v>
      </c>
      <c r="E217" s="37" t="s">
        <v>51</v>
      </c>
      <c r="F217" s="38"/>
      <c r="G217" s="34" t="s">
        <v>1878</v>
      </c>
      <c r="H217" s="34"/>
      <c r="I217" s="37" t="s">
        <v>1879</v>
      </c>
      <c r="J217" s="36">
        <v>44025</v>
      </c>
      <c r="K217" s="36"/>
      <c r="L217" s="36">
        <v>44043</v>
      </c>
      <c r="M217" s="37" t="s">
        <v>146</v>
      </c>
      <c r="N217" s="37" t="s">
        <v>1880</v>
      </c>
      <c r="O217" s="37" t="s">
        <v>1881</v>
      </c>
      <c r="P217" s="37" t="s">
        <v>964</v>
      </c>
      <c r="Q217" s="37" t="s">
        <v>265</v>
      </c>
      <c r="R217" s="36">
        <v>43517</v>
      </c>
      <c r="S217" s="37"/>
      <c r="T217" s="36"/>
      <c r="U217" s="37" t="s">
        <v>1882</v>
      </c>
      <c r="V217" s="36">
        <v>43445</v>
      </c>
      <c r="W217" s="37" t="s">
        <v>1883</v>
      </c>
      <c r="X217" s="36">
        <v>43961</v>
      </c>
      <c r="Y217" s="37"/>
      <c r="Z217" s="37"/>
      <c r="AA217" s="37"/>
      <c r="AB217" s="37"/>
      <c r="AC217" s="39">
        <v>13</v>
      </c>
      <c r="AD217" s="37" t="str">
        <f t="shared" si="10"/>
        <v>1년 1개월</v>
      </c>
      <c r="AE217" s="39">
        <f ca="1">(재직자!$AL$1-J217)/30</f>
        <v>69.63333333333334</v>
      </c>
      <c r="AF217" s="37" t="str">
        <f t="shared" ca="1" si="11"/>
        <v>5년 9개월</v>
      </c>
      <c r="AG217" s="39">
        <f t="shared" ca="1" si="12"/>
        <v>82.63333333333334</v>
      </c>
      <c r="AH217" s="39" t="str">
        <f t="shared" ca="1" si="13"/>
        <v>6년 10개월</v>
      </c>
      <c r="AI217" s="44" t="s">
        <v>1884</v>
      </c>
      <c r="AJ217" s="37" t="s">
        <v>1885</v>
      </c>
      <c r="AK217" s="50" t="s">
        <v>1886</v>
      </c>
      <c r="AL217" s="37"/>
      <c r="AM217" s="37" t="s">
        <v>1887</v>
      </c>
      <c r="AN217" s="54" t="s">
        <v>1888</v>
      </c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</row>
    <row r="218" spans="1:54" ht="15" customHeight="1">
      <c r="A218" s="33" t="s">
        <v>160</v>
      </c>
      <c r="B218" s="33" t="s">
        <v>1889</v>
      </c>
      <c r="C218" s="33" t="s">
        <v>193</v>
      </c>
      <c r="D218" s="34" t="s">
        <v>1890</v>
      </c>
      <c r="E218" s="34" t="s">
        <v>34</v>
      </c>
      <c r="F218" s="38" t="s">
        <v>1891</v>
      </c>
      <c r="G218" s="34" t="s">
        <v>1685</v>
      </c>
      <c r="H218" s="34" t="s">
        <v>1279</v>
      </c>
      <c r="I218" s="35" t="s">
        <v>1892</v>
      </c>
      <c r="J218" s="36">
        <v>42135</v>
      </c>
      <c r="K218" s="36">
        <v>42826</v>
      </c>
      <c r="L218" s="36">
        <v>44127</v>
      </c>
      <c r="M218" s="37" t="s">
        <v>153</v>
      </c>
      <c r="N218" s="37" t="s">
        <v>1893</v>
      </c>
      <c r="O218" s="37" t="s">
        <v>617</v>
      </c>
      <c r="P218" s="38" t="s">
        <v>964</v>
      </c>
      <c r="Q218" s="37" t="s">
        <v>209</v>
      </c>
      <c r="R218" s="36">
        <v>38401</v>
      </c>
      <c r="S218" s="37" t="s">
        <v>275</v>
      </c>
      <c r="T218" s="36">
        <v>38145</v>
      </c>
      <c r="U218" s="36"/>
      <c r="V218" s="37"/>
      <c r="W218" s="37"/>
      <c r="X218" s="37"/>
      <c r="Y218" s="37" t="s">
        <v>199</v>
      </c>
      <c r="Z218" s="37"/>
      <c r="AA218" s="36"/>
      <c r="AB218" s="37"/>
      <c r="AC218" s="39">
        <v>120</v>
      </c>
      <c r="AD218" s="38" t="str">
        <f t="shared" si="10"/>
        <v>10년 0개월</v>
      </c>
      <c r="AE218" s="39">
        <f ca="1">(재직자!$AL$1-J218)/30</f>
        <v>132.63333333333333</v>
      </c>
      <c r="AF218" s="39" t="str">
        <f t="shared" ca="1" si="11"/>
        <v>11년 0개월</v>
      </c>
      <c r="AG218" s="39">
        <f t="shared" ca="1" si="12"/>
        <v>252.63333333333333</v>
      </c>
      <c r="AH218" s="39" t="str">
        <f t="shared" ca="1" si="13"/>
        <v>21년 0개월</v>
      </c>
      <c r="AI218" s="43" t="s">
        <v>1894</v>
      </c>
      <c r="AJ218" s="33" t="s">
        <v>1895</v>
      </c>
      <c r="AK218" s="50" t="s">
        <v>1896</v>
      </c>
      <c r="AL218" s="37"/>
      <c r="AM218" s="37" t="s">
        <v>1897</v>
      </c>
      <c r="AN218" s="54" t="s">
        <v>1898</v>
      </c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</row>
    <row r="219" spans="1:54" ht="15" customHeight="1">
      <c r="A219" s="33" t="s">
        <v>233</v>
      </c>
      <c r="B219" s="33" t="s">
        <v>1899</v>
      </c>
      <c r="C219" s="33" t="s">
        <v>226</v>
      </c>
      <c r="D219" s="34" t="s">
        <v>1900</v>
      </c>
      <c r="E219" s="34" t="s">
        <v>228</v>
      </c>
      <c r="F219" s="38"/>
      <c r="G219" s="34" t="s">
        <v>120</v>
      </c>
      <c r="H219" s="34"/>
      <c r="I219" s="35" t="s">
        <v>1901</v>
      </c>
      <c r="J219" s="36">
        <v>43347</v>
      </c>
      <c r="K219" s="36"/>
      <c r="L219" s="36">
        <v>44165</v>
      </c>
      <c r="M219" s="37" t="s">
        <v>153</v>
      </c>
      <c r="N219" s="37" t="s">
        <v>559</v>
      </c>
      <c r="O219" s="38" t="s">
        <v>413</v>
      </c>
      <c r="P219" s="38" t="s">
        <v>931</v>
      </c>
      <c r="Q219" s="37" t="s">
        <v>209</v>
      </c>
      <c r="R219" s="36">
        <v>37309</v>
      </c>
      <c r="S219" s="37"/>
      <c r="T219" s="36"/>
      <c r="U219" s="37"/>
      <c r="V219" s="36"/>
      <c r="W219" s="37"/>
      <c r="X219" s="37"/>
      <c r="Y219" s="37"/>
      <c r="Z219" s="37"/>
      <c r="AA219" s="36"/>
      <c r="AB219" s="37"/>
      <c r="AC219" s="39">
        <v>187</v>
      </c>
      <c r="AD219" s="38" t="str">
        <f t="shared" si="10"/>
        <v>15년 7개월</v>
      </c>
      <c r="AE219" s="39">
        <f ca="1">(재직자!$AL$1-J219)/30</f>
        <v>92.233333333333334</v>
      </c>
      <c r="AF219" s="39" t="str">
        <f t="shared" ca="1" si="11"/>
        <v>7년 8개월</v>
      </c>
      <c r="AG219" s="39">
        <f t="shared" ca="1" si="12"/>
        <v>279.23333333333335</v>
      </c>
      <c r="AH219" s="39" t="str">
        <f t="shared" ca="1" si="13"/>
        <v>23년 3개월</v>
      </c>
      <c r="AI219" s="43" t="s">
        <v>1902</v>
      </c>
      <c r="AJ219" s="33" t="s">
        <v>1903</v>
      </c>
      <c r="AK219" s="50" t="s">
        <v>1904</v>
      </c>
      <c r="AL219" s="37"/>
      <c r="AM219" s="37" t="s">
        <v>1905</v>
      </c>
      <c r="AN219" s="54" t="s">
        <v>1906</v>
      </c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</row>
    <row r="220" spans="1:54" ht="16.5" customHeight="1">
      <c r="A220" s="33" t="s">
        <v>788</v>
      </c>
      <c r="B220" s="33" t="s">
        <v>1907</v>
      </c>
      <c r="C220" s="33" t="s">
        <v>193</v>
      </c>
      <c r="D220" s="34" t="s">
        <v>1908</v>
      </c>
      <c r="E220" s="34" t="s">
        <v>228</v>
      </c>
      <c r="F220" s="34" t="s">
        <v>1909</v>
      </c>
      <c r="G220" s="34" t="s">
        <v>1644</v>
      </c>
      <c r="H220" s="34"/>
      <c r="I220" s="35" t="s">
        <v>1910</v>
      </c>
      <c r="J220" s="36">
        <v>43411</v>
      </c>
      <c r="K220" s="36"/>
      <c r="L220" s="36">
        <v>44169</v>
      </c>
      <c r="M220" s="37" t="s">
        <v>448</v>
      </c>
      <c r="N220" s="37" t="s">
        <v>1911</v>
      </c>
      <c r="O220" s="38"/>
      <c r="P220" s="38" t="s">
        <v>711</v>
      </c>
      <c r="Q220" s="37" t="s">
        <v>448</v>
      </c>
      <c r="R220" s="36"/>
      <c r="S220" s="37"/>
      <c r="T220" s="36"/>
      <c r="U220" s="37"/>
      <c r="V220" s="36"/>
      <c r="W220" s="37"/>
      <c r="X220" s="36"/>
      <c r="Y220" s="37"/>
      <c r="Z220" s="37"/>
      <c r="AA220" s="36"/>
      <c r="AB220" s="37"/>
      <c r="AC220" s="39">
        <v>248</v>
      </c>
      <c r="AD220" s="38" t="str">
        <f t="shared" si="10"/>
        <v>20년 8개월</v>
      </c>
      <c r="AE220" s="39">
        <f ca="1">(재직자!$AL$1-J220)/30</f>
        <v>90.1</v>
      </c>
      <c r="AF220" s="39" t="str">
        <f t="shared" ca="1" si="11"/>
        <v>7년 6개월</v>
      </c>
      <c r="AG220" s="39">
        <f t="shared" ca="1" si="12"/>
        <v>338.1</v>
      </c>
      <c r="AH220" s="39" t="str">
        <f t="shared" ca="1" si="13"/>
        <v>28년 2개월</v>
      </c>
      <c r="AI220" s="43" t="s">
        <v>1912</v>
      </c>
      <c r="AJ220" s="33" t="s">
        <v>1913</v>
      </c>
      <c r="AK220" s="64" t="s">
        <v>1914</v>
      </c>
      <c r="AL220" s="37"/>
      <c r="AM220" s="37" t="s">
        <v>1915</v>
      </c>
      <c r="AN220" s="54" t="s">
        <v>1916</v>
      </c>
      <c r="AO220" s="32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</row>
    <row r="221" spans="1:54" ht="16.5" customHeight="1">
      <c r="A221" s="33" t="s">
        <v>452</v>
      </c>
      <c r="B221" s="33" t="s">
        <v>1917</v>
      </c>
      <c r="C221" s="33" t="s">
        <v>193</v>
      </c>
      <c r="D221" s="34" t="s">
        <v>1918</v>
      </c>
      <c r="E221" s="34" t="s">
        <v>228</v>
      </c>
      <c r="F221" s="34" t="s">
        <v>1919</v>
      </c>
      <c r="G221" s="34" t="s">
        <v>1685</v>
      </c>
      <c r="H221" s="34"/>
      <c r="I221" s="35" t="s">
        <v>1920</v>
      </c>
      <c r="J221" s="36">
        <v>43711</v>
      </c>
      <c r="K221" s="36"/>
      <c r="L221" s="36">
        <v>44169</v>
      </c>
      <c r="M221" s="37" t="s">
        <v>196</v>
      </c>
      <c r="N221" s="37" t="s">
        <v>741</v>
      </c>
      <c r="O221" s="38" t="s">
        <v>457</v>
      </c>
      <c r="P221" s="38" t="s">
        <v>711</v>
      </c>
      <c r="Q221" s="37" t="s">
        <v>198</v>
      </c>
      <c r="R221" s="36">
        <v>36583</v>
      </c>
      <c r="S221" s="37"/>
      <c r="T221" s="36"/>
      <c r="U221" s="37"/>
      <c r="V221" s="36"/>
      <c r="W221" s="37"/>
      <c r="X221" s="36"/>
      <c r="Y221" s="37"/>
      <c r="Z221" s="37"/>
      <c r="AA221" s="36"/>
      <c r="AB221" s="37"/>
      <c r="AC221" s="39">
        <v>229</v>
      </c>
      <c r="AD221" s="38" t="str">
        <f t="shared" si="10"/>
        <v>19년 1개월</v>
      </c>
      <c r="AE221" s="39">
        <f ca="1">(재직자!$AL$1-J221)/30</f>
        <v>80.099999999999994</v>
      </c>
      <c r="AF221" s="39" t="str">
        <f t="shared" ca="1" si="11"/>
        <v>6년 8개월</v>
      </c>
      <c r="AG221" s="39">
        <f t="shared" ca="1" si="12"/>
        <v>309.10000000000002</v>
      </c>
      <c r="AH221" s="39" t="str">
        <f t="shared" ca="1" si="13"/>
        <v>25년 9개월</v>
      </c>
      <c r="AI221" s="43" t="s">
        <v>1921</v>
      </c>
      <c r="AJ221" s="33" t="s">
        <v>1922</v>
      </c>
      <c r="AK221" s="62" t="s">
        <v>1923</v>
      </c>
      <c r="AL221" s="67"/>
      <c r="AM221" s="37" t="s">
        <v>1924</v>
      </c>
      <c r="AN221" s="54" t="s">
        <v>1925</v>
      </c>
      <c r="AO221" s="32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</row>
    <row r="222" spans="1:54" ht="16.5" customHeight="1">
      <c r="A222" s="33" t="s">
        <v>899</v>
      </c>
      <c r="B222" s="33" t="s">
        <v>1926</v>
      </c>
      <c r="C222" s="33" t="s">
        <v>924</v>
      </c>
      <c r="D222" s="34" t="s">
        <v>1927</v>
      </c>
      <c r="E222" s="34" t="s">
        <v>228</v>
      </c>
      <c r="F222" s="34"/>
      <c r="G222" s="34" t="s">
        <v>52</v>
      </c>
      <c r="H222" s="34"/>
      <c r="I222" s="35" t="s">
        <v>1928</v>
      </c>
      <c r="J222" s="36">
        <v>43801</v>
      </c>
      <c r="K222" s="36"/>
      <c r="L222" s="36">
        <v>44211</v>
      </c>
      <c r="M222" s="37" t="s">
        <v>153</v>
      </c>
      <c r="N222" s="37" t="s">
        <v>318</v>
      </c>
      <c r="O222" s="38" t="s">
        <v>1929</v>
      </c>
      <c r="P222" s="38" t="s">
        <v>711</v>
      </c>
      <c r="Q222" s="37" t="s">
        <v>209</v>
      </c>
      <c r="R222" s="36">
        <v>35111</v>
      </c>
      <c r="S222" s="37" t="s">
        <v>275</v>
      </c>
      <c r="T222" s="36">
        <v>42300</v>
      </c>
      <c r="U222" s="37"/>
      <c r="V222" s="36"/>
      <c r="W222" s="37"/>
      <c r="X222" s="36"/>
      <c r="Y222" s="37"/>
      <c r="Z222" s="37"/>
      <c r="AA222" s="36"/>
      <c r="AB222" s="37"/>
      <c r="AC222" s="39">
        <v>231</v>
      </c>
      <c r="AD222" s="38" t="str">
        <f t="shared" si="10"/>
        <v>19년 3개월</v>
      </c>
      <c r="AE222" s="39">
        <f ca="1">(재직자!$AL$1-J222)/30</f>
        <v>77.099999999999994</v>
      </c>
      <c r="AF222" s="39" t="str">
        <f t="shared" ca="1" si="11"/>
        <v>6년 5개월</v>
      </c>
      <c r="AG222" s="39">
        <f t="shared" ca="1" si="12"/>
        <v>308.10000000000002</v>
      </c>
      <c r="AH222" s="39" t="str">
        <f t="shared" ca="1" si="13"/>
        <v>25년 8개월</v>
      </c>
      <c r="AI222" s="43" t="s">
        <v>1930</v>
      </c>
      <c r="AJ222" s="33" t="s">
        <v>1931</v>
      </c>
      <c r="AK222" s="62" t="s">
        <v>1932</v>
      </c>
      <c r="AL222" s="67"/>
      <c r="AM222" s="37" t="s">
        <v>1933</v>
      </c>
      <c r="AN222" s="54" t="s">
        <v>1727</v>
      </c>
      <c r="AO222" s="32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</row>
    <row r="223" spans="1:54" ht="16.5" customHeight="1">
      <c r="A223" s="33" t="s">
        <v>1934</v>
      </c>
      <c r="B223" s="37">
        <v>201001</v>
      </c>
      <c r="C223" s="33" t="s">
        <v>924</v>
      </c>
      <c r="D223" s="37" t="s">
        <v>1935</v>
      </c>
      <c r="E223" s="37" t="s">
        <v>88</v>
      </c>
      <c r="F223" s="38"/>
      <c r="G223" s="34" t="s">
        <v>52</v>
      </c>
      <c r="H223" s="34"/>
      <c r="I223" s="37" t="s">
        <v>1936</v>
      </c>
      <c r="J223" s="36">
        <v>44123</v>
      </c>
      <c r="K223" s="36"/>
      <c r="L223" s="36">
        <v>44224</v>
      </c>
      <c r="M223" s="37" t="s">
        <v>146</v>
      </c>
      <c r="N223" s="37" t="s">
        <v>1937</v>
      </c>
      <c r="O223" s="37" t="s">
        <v>1938</v>
      </c>
      <c r="P223" s="37" t="s">
        <v>964</v>
      </c>
      <c r="Q223" s="37" t="s">
        <v>265</v>
      </c>
      <c r="R223" s="36">
        <v>38758</v>
      </c>
      <c r="S223" s="37"/>
      <c r="T223" s="36"/>
      <c r="U223" s="37"/>
      <c r="V223" s="36"/>
      <c r="W223" s="37"/>
      <c r="X223" s="37"/>
      <c r="Y223" s="37"/>
      <c r="Z223" s="37"/>
      <c r="AA223" s="37"/>
      <c r="AB223" s="37"/>
      <c r="AC223" s="39">
        <v>101</v>
      </c>
      <c r="AD223" s="37" t="str">
        <f t="shared" si="10"/>
        <v>8년 5개월</v>
      </c>
      <c r="AE223" s="39">
        <f ca="1">(재직자!$AL$1-J223)/30</f>
        <v>66.36666666666666</v>
      </c>
      <c r="AF223" s="37" t="str">
        <f t="shared" ca="1" si="11"/>
        <v>5년 6개월</v>
      </c>
      <c r="AG223" s="39">
        <f t="shared" ca="1" si="12"/>
        <v>167.36666666666667</v>
      </c>
      <c r="AH223" s="39" t="str">
        <f t="shared" ca="1" si="13"/>
        <v>13년 11개월</v>
      </c>
      <c r="AI223" s="44" t="s">
        <v>1939</v>
      </c>
      <c r="AJ223" s="37" t="s">
        <v>1940</v>
      </c>
      <c r="AK223" s="50" t="s">
        <v>1941</v>
      </c>
      <c r="AL223" s="37"/>
      <c r="AM223" s="37" t="s">
        <v>1942</v>
      </c>
      <c r="AN223" s="54" t="s">
        <v>1943</v>
      </c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</row>
    <row r="224" spans="1:54" ht="16.5" customHeight="1">
      <c r="A224" s="33" t="s">
        <v>1944</v>
      </c>
      <c r="B224" s="37">
        <v>210101</v>
      </c>
      <c r="C224" s="33" t="s">
        <v>226</v>
      </c>
      <c r="D224" s="37" t="s">
        <v>1945</v>
      </c>
      <c r="E224" s="37" t="s">
        <v>88</v>
      </c>
      <c r="F224" s="38"/>
      <c r="G224" s="34" t="s">
        <v>120</v>
      </c>
      <c r="H224" s="34"/>
      <c r="I224" s="37" t="s">
        <v>1946</v>
      </c>
      <c r="J224" s="36">
        <v>44200</v>
      </c>
      <c r="K224" s="36"/>
      <c r="L224" s="36">
        <v>44232</v>
      </c>
      <c r="M224" s="37" t="s">
        <v>146</v>
      </c>
      <c r="N224" s="37" t="s">
        <v>1947</v>
      </c>
      <c r="O224" s="37" t="s">
        <v>1948</v>
      </c>
      <c r="P224" s="37" t="s">
        <v>711</v>
      </c>
      <c r="Q224" s="37" t="s">
        <v>265</v>
      </c>
      <c r="R224" s="36">
        <v>41323</v>
      </c>
      <c r="S224" s="37"/>
      <c r="T224" s="36"/>
      <c r="U224" s="37"/>
      <c r="V224" s="36"/>
      <c r="W224" s="37"/>
      <c r="X224" s="36"/>
      <c r="Y224" s="37"/>
      <c r="Z224" s="37"/>
      <c r="AA224" s="37"/>
      <c r="AB224" s="37"/>
      <c r="AC224" s="39">
        <v>98</v>
      </c>
      <c r="AD224" s="37" t="str">
        <f t="shared" si="10"/>
        <v>8년 2개월</v>
      </c>
      <c r="AE224" s="39">
        <f ca="1">(재직자!$AL$1-J224)/30</f>
        <v>63.8</v>
      </c>
      <c r="AF224" s="37" t="str">
        <f t="shared" ca="1" si="11"/>
        <v>5년 3개월</v>
      </c>
      <c r="AG224" s="39">
        <f t="shared" ca="1" si="12"/>
        <v>161.80000000000001</v>
      </c>
      <c r="AH224" s="39" t="str">
        <f t="shared" ca="1" si="13"/>
        <v>13년 5개월</v>
      </c>
      <c r="AI224" s="44" t="s">
        <v>1949</v>
      </c>
      <c r="AJ224" s="37" t="s">
        <v>1950</v>
      </c>
      <c r="AK224" s="50" t="s">
        <v>1951</v>
      </c>
      <c r="AL224" s="37"/>
      <c r="AM224" s="37" t="s">
        <v>1952</v>
      </c>
      <c r="AN224" s="54" t="s">
        <v>1953</v>
      </c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</row>
    <row r="225" spans="1:54" ht="16.5" customHeight="1">
      <c r="A225" s="33" t="s">
        <v>377</v>
      </c>
      <c r="B225" s="33" t="s">
        <v>1954</v>
      </c>
      <c r="C225" s="33" t="s">
        <v>193</v>
      </c>
      <c r="D225" s="34" t="s">
        <v>1955</v>
      </c>
      <c r="E225" s="34" t="s">
        <v>88</v>
      </c>
      <c r="F225" s="34"/>
      <c r="G225" s="34" t="s">
        <v>1685</v>
      </c>
      <c r="H225" s="34"/>
      <c r="I225" s="35" t="s">
        <v>1956</v>
      </c>
      <c r="J225" s="36">
        <v>43528</v>
      </c>
      <c r="K225" s="36"/>
      <c r="L225" s="36">
        <v>44274</v>
      </c>
      <c r="M225" s="37" t="s">
        <v>153</v>
      </c>
      <c r="N225" s="37" t="s">
        <v>355</v>
      </c>
      <c r="O225" s="38" t="s">
        <v>457</v>
      </c>
      <c r="P225" s="38" t="s">
        <v>711</v>
      </c>
      <c r="Q225" s="37" t="s">
        <v>209</v>
      </c>
      <c r="R225" s="36">
        <v>43334</v>
      </c>
      <c r="S225" s="37"/>
      <c r="T225" s="36"/>
      <c r="U225" s="37"/>
      <c r="V225" s="36"/>
      <c r="W225" s="37"/>
      <c r="X225" s="36"/>
      <c r="Y225" s="37"/>
      <c r="Z225" s="37"/>
      <c r="AA225" s="36"/>
      <c r="AB225" s="37"/>
      <c r="AC225" s="39">
        <v>161</v>
      </c>
      <c r="AD225" s="38" t="str">
        <f t="shared" si="10"/>
        <v>13년 5개월</v>
      </c>
      <c r="AE225" s="39">
        <f ca="1">(재직자!$AL$1-J225)/30</f>
        <v>86.2</v>
      </c>
      <c r="AF225" s="39" t="str">
        <f t="shared" ca="1" si="11"/>
        <v>7년 2개월</v>
      </c>
      <c r="AG225" s="39">
        <f t="shared" ca="1" si="12"/>
        <v>247.2</v>
      </c>
      <c r="AH225" s="39" t="str">
        <f t="shared" ca="1" si="13"/>
        <v>20년 7개월</v>
      </c>
      <c r="AI225" s="43" t="s">
        <v>1957</v>
      </c>
      <c r="AJ225" s="33" t="s">
        <v>1958</v>
      </c>
      <c r="AK225" s="62" t="s">
        <v>1959</v>
      </c>
      <c r="AL225" s="67"/>
      <c r="AM225" s="37" t="s">
        <v>1336</v>
      </c>
      <c r="AN225" s="54" t="s">
        <v>1960</v>
      </c>
      <c r="AO225" s="32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</row>
    <row r="226" spans="1:54" ht="15" customHeight="1">
      <c r="A226" s="33" t="s">
        <v>141</v>
      </c>
      <c r="B226" s="37">
        <v>140604</v>
      </c>
      <c r="C226" s="33" t="s">
        <v>924</v>
      </c>
      <c r="D226" s="37" t="s">
        <v>1961</v>
      </c>
      <c r="E226" s="37" t="s">
        <v>34</v>
      </c>
      <c r="F226" s="38" t="s">
        <v>1962</v>
      </c>
      <c r="G226" s="34" t="s">
        <v>1685</v>
      </c>
      <c r="H226" s="34" t="s">
        <v>1221</v>
      </c>
      <c r="I226" s="37" t="s">
        <v>1963</v>
      </c>
      <c r="J226" s="36">
        <v>41813</v>
      </c>
      <c r="K226" s="36">
        <v>42552</v>
      </c>
      <c r="L226" s="36">
        <v>44286</v>
      </c>
      <c r="M226" s="37" t="s">
        <v>153</v>
      </c>
      <c r="N226" s="37" t="s">
        <v>1893</v>
      </c>
      <c r="O226" s="37" t="s">
        <v>457</v>
      </c>
      <c r="P226" s="37" t="s">
        <v>964</v>
      </c>
      <c r="Q226" s="37" t="s">
        <v>209</v>
      </c>
      <c r="R226" s="36">
        <v>38037</v>
      </c>
      <c r="S226" s="37"/>
      <c r="T226" s="36"/>
      <c r="U226" s="37" t="s">
        <v>405</v>
      </c>
      <c r="V226" s="36">
        <v>37963</v>
      </c>
      <c r="W226" s="37"/>
      <c r="X226" s="37"/>
      <c r="Y226" s="37" t="s">
        <v>230</v>
      </c>
      <c r="Z226" s="37"/>
      <c r="AA226" s="37"/>
      <c r="AB226" s="37"/>
      <c r="AC226" s="39">
        <v>115</v>
      </c>
      <c r="AD226" s="37" t="str">
        <f t="shared" si="10"/>
        <v>9년 7개월</v>
      </c>
      <c r="AE226" s="39">
        <f ca="1">(재직자!$AL$1-J226)/30</f>
        <v>143.36666666666667</v>
      </c>
      <c r="AF226" s="37" t="str">
        <f t="shared" ca="1" si="11"/>
        <v>11년 11개월</v>
      </c>
      <c r="AG226" s="39">
        <f t="shared" ca="1" si="12"/>
        <v>258.36666666666667</v>
      </c>
      <c r="AH226" s="37" t="str">
        <f t="shared" ca="1" si="13"/>
        <v>21년 6개월</v>
      </c>
      <c r="AI226" s="63" t="s">
        <v>1964</v>
      </c>
      <c r="AJ226" s="37" t="s">
        <v>1965</v>
      </c>
      <c r="AK226" s="50" t="s">
        <v>1966</v>
      </c>
      <c r="AL226" s="37"/>
      <c r="AM226" s="37" t="s">
        <v>1967</v>
      </c>
      <c r="AN226" s="54" t="s">
        <v>1968</v>
      </c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</row>
    <row r="227" spans="1:54" ht="16.5" customHeight="1">
      <c r="A227" s="33" t="s">
        <v>1149</v>
      </c>
      <c r="B227" s="37">
        <v>200902</v>
      </c>
      <c r="C227" s="33" t="s">
        <v>924</v>
      </c>
      <c r="D227" s="37" t="s">
        <v>1969</v>
      </c>
      <c r="E227" s="37" t="s">
        <v>228</v>
      </c>
      <c r="F227" s="38"/>
      <c r="G227" s="34" t="s">
        <v>52</v>
      </c>
      <c r="H227" s="34"/>
      <c r="I227" s="37" t="s">
        <v>1970</v>
      </c>
      <c r="J227" s="36">
        <v>44088</v>
      </c>
      <c r="K227" s="36">
        <v>44228</v>
      </c>
      <c r="L227" s="36">
        <v>44286</v>
      </c>
      <c r="M227" s="37" t="s">
        <v>153</v>
      </c>
      <c r="N227" s="37" t="s">
        <v>1971</v>
      </c>
      <c r="O227" s="37" t="s">
        <v>1972</v>
      </c>
      <c r="P227" s="37" t="s">
        <v>1433</v>
      </c>
      <c r="Q227" s="37" t="s">
        <v>209</v>
      </c>
      <c r="R227" s="36">
        <v>36940</v>
      </c>
      <c r="S227" s="37"/>
      <c r="T227" s="36"/>
      <c r="U227" s="37"/>
      <c r="V227" s="36"/>
      <c r="W227" s="37"/>
      <c r="X227" s="37"/>
      <c r="Y227" s="37"/>
      <c r="Z227" s="37"/>
      <c r="AA227" s="37"/>
      <c r="AB227" s="37"/>
      <c r="AC227" s="39">
        <v>194</v>
      </c>
      <c r="AD227" s="37" t="str">
        <f t="shared" si="10"/>
        <v>16년 2개월</v>
      </c>
      <c r="AE227" s="39">
        <f ca="1">(재직자!$AL$1-J227)/30</f>
        <v>67.533333333333331</v>
      </c>
      <c r="AF227" s="37" t="str">
        <f t="shared" ca="1" si="11"/>
        <v>5년 7개월</v>
      </c>
      <c r="AG227" s="39">
        <f t="shared" ca="1" si="12"/>
        <v>261.5333333333333</v>
      </c>
      <c r="AH227" s="39" t="str">
        <f t="shared" ca="1" si="13"/>
        <v>21년 9개월</v>
      </c>
      <c r="AI227" s="44" t="s">
        <v>1973</v>
      </c>
      <c r="AJ227" s="37" t="s">
        <v>1974</v>
      </c>
      <c r="AK227" s="50" t="s">
        <v>1975</v>
      </c>
      <c r="AL227" s="37"/>
      <c r="AM227" s="37" t="s">
        <v>1976</v>
      </c>
      <c r="AN227" s="54" t="s">
        <v>1977</v>
      </c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</row>
    <row r="228" spans="1:54" ht="16.5" customHeight="1">
      <c r="A228" s="33" t="s">
        <v>1978</v>
      </c>
      <c r="B228" s="37">
        <v>201102</v>
      </c>
      <c r="C228" s="33" t="s">
        <v>226</v>
      </c>
      <c r="D228" s="37" t="s">
        <v>1979</v>
      </c>
      <c r="E228" s="37" t="s">
        <v>228</v>
      </c>
      <c r="F228" s="38"/>
      <c r="G228" s="34" t="s">
        <v>52</v>
      </c>
      <c r="H228" s="34"/>
      <c r="I228" s="37" t="s">
        <v>1980</v>
      </c>
      <c r="J228" s="36">
        <v>44154</v>
      </c>
      <c r="K228" s="36"/>
      <c r="L228" s="36">
        <v>44286</v>
      </c>
      <c r="M228" s="37" t="s">
        <v>153</v>
      </c>
      <c r="N228" s="37" t="s">
        <v>1981</v>
      </c>
      <c r="O228" s="37" t="s">
        <v>1982</v>
      </c>
      <c r="P228" s="37" t="s">
        <v>964</v>
      </c>
      <c r="Q228" s="37" t="s">
        <v>209</v>
      </c>
      <c r="R228" s="36">
        <v>37309</v>
      </c>
      <c r="S228" s="37" t="s">
        <v>275</v>
      </c>
      <c r="T228" s="36">
        <v>39069</v>
      </c>
      <c r="U228" s="37" t="s">
        <v>1983</v>
      </c>
      <c r="V228" s="36">
        <v>39014</v>
      </c>
      <c r="W228" s="37"/>
      <c r="X228" s="36"/>
      <c r="Y228" s="37"/>
      <c r="Z228" s="37"/>
      <c r="AA228" s="37"/>
      <c r="AB228" s="37"/>
      <c r="AC228" s="39">
        <v>178</v>
      </c>
      <c r="AD228" s="37" t="str">
        <f t="shared" si="10"/>
        <v>14년 10개월</v>
      </c>
      <c r="AE228" s="39">
        <f ca="1">(재직자!$AL$1-J228)/30</f>
        <v>65.333333333333329</v>
      </c>
      <c r="AF228" s="37" t="str">
        <f t="shared" ca="1" si="11"/>
        <v>5년 5개월</v>
      </c>
      <c r="AG228" s="39">
        <f t="shared" ca="1" si="12"/>
        <v>243.33333333333331</v>
      </c>
      <c r="AH228" s="39" t="str">
        <f t="shared" ca="1" si="13"/>
        <v>20년 3개월</v>
      </c>
      <c r="AI228" s="44" t="s">
        <v>1984</v>
      </c>
      <c r="AJ228" s="37" t="s">
        <v>1985</v>
      </c>
      <c r="AK228" s="50" t="s">
        <v>1986</v>
      </c>
      <c r="AL228" s="37"/>
      <c r="AM228" s="37" t="s">
        <v>1987</v>
      </c>
      <c r="AN228" s="54" t="s">
        <v>1988</v>
      </c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</row>
    <row r="229" spans="1:54" ht="16.5" customHeight="1">
      <c r="A229" s="33" t="s">
        <v>1989</v>
      </c>
      <c r="B229" s="68">
        <v>210204</v>
      </c>
      <c r="C229" s="33" t="s">
        <v>193</v>
      </c>
      <c r="D229" s="68" t="s">
        <v>1990</v>
      </c>
      <c r="E229" s="68" t="s">
        <v>88</v>
      </c>
      <c r="F229" s="69"/>
      <c r="G229" s="34" t="s">
        <v>1644</v>
      </c>
      <c r="H229" s="70"/>
      <c r="I229" s="68" t="s">
        <v>1991</v>
      </c>
      <c r="J229" s="71">
        <v>44242</v>
      </c>
      <c r="K229" s="71"/>
      <c r="L229" s="71">
        <v>44286</v>
      </c>
      <c r="M229" s="68" t="s">
        <v>153</v>
      </c>
      <c r="N229" s="68" t="s">
        <v>1992</v>
      </c>
      <c r="O229" s="68" t="s">
        <v>1993</v>
      </c>
      <c r="P229" s="68" t="s">
        <v>711</v>
      </c>
      <c r="Q229" s="68" t="s">
        <v>209</v>
      </c>
      <c r="R229" s="71">
        <v>40056</v>
      </c>
      <c r="S229" s="68"/>
      <c r="T229" s="71"/>
      <c r="U229" s="68" t="s">
        <v>1994</v>
      </c>
      <c r="V229" s="71">
        <v>39678</v>
      </c>
      <c r="W229" s="68"/>
      <c r="X229" s="71"/>
      <c r="Y229" s="68"/>
      <c r="Z229" s="68"/>
      <c r="AA229" s="68"/>
      <c r="AB229" s="68"/>
      <c r="AC229" s="72">
        <v>136</v>
      </c>
      <c r="AD229" s="68" t="str">
        <f t="shared" si="10"/>
        <v>11년 4개월</v>
      </c>
      <c r="AE229" s="72">
        <f ca="1">(재직자!$AL$1-J229)/30</f>
        <v>62.4</v>
      </c>
      <c r="AF229" s="68" t="str">
        <f t="shared" ca="1" si="11"/>
        <v>5년 2개월</v>
      </c>
      <c r="AG229" s="72">
        <f t="shared" ca="1" si="12"/>
        <v>198.4</v>
      </c>
      <c r="AH229" s="72" t="str">
        <f t="shared" ca="1" si="13"/>
        <v>16년 6개월</v>
      </c>
      <c r="AI229" s="73" t="s">
        <v>1995</v>
      </c>
      <c r="AJ229" s="68" t="s">
        <v>1996</v>
      </c>
      <c r="AK229" s="74" t="s">
        <v>1997</v>
      </c>
      <c r="AL229" s="68"/>
      <c r="AM229" s="37" t="s">
        <v>1998</v>
      </c>
      <c r="AN229" s="54" t="s">
        <v>1999</v>
      </c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</row>
    <row r="230" spans="1:54" ht="16.5" customHeight="1">
      <c r="A230" s="33" t="s">
        <v>2000</v>
      </c>
      <c r="B230" s="68">
        <v>210305</v>
      </c>
      <c r="C230" s="33" t="s">
        <v>193</v>
      </c>
      <c r="D230" s="68" t="s">
        <v>2001</v>
      </c>
      <c r="E230" s="68" t="s">
        <v>51</v>
      </c>
      <c r="F230" s="69"/>
      <c r="G230" s="70" t="s">
        <v>52</v>
      </c>
      <c r="H230" s="70"/>
      <c r="I230" s="68" t="s">
        <v>2002</v>
      </c>
      <c r="J230" s="71">
        <v>44272</v>
      </c>
      <c r="K230" s="71"/>
      <c r="L230" s="71">
        <v>44286</v>
      </c>
      <c r="M230" s="68" t="s">
        <v>153</v>
      </c>
      <c r="N230" s="68" t="s">
        <v>2003</v>
      </c>
      <c r="O230" s="68" t="s">
        <v>457</v>
      </c>
      <c r="P230" s="68" t="s">
        <v>711</v>
      </c>
      <c r="Q230" s="68" t="s">
        <v>209</v>
      </c>
      <c r="R230" s="71">
        <v>43328</v>
      </c>
      <c r="S230" s="68" t="s">
        <v>275</v>
      </c>
      <c r="T230" s="71">
        <v>43780</v>
      </c>
      <c r="U230" s="75" t="s">
        <v>2004</v>
      </c>
      <c r="V230" s="71">
        <v>38558</v>
      </c>
      <c r="W230" s="68"/>
      <c r="X230" s="71"/>
      <c r="Y230" s="68"/>
      <c r="Z230" s="68"/>
      <c r="AA230" s="68"/>
      <c r="AB230" s="68"/>
      <c r="AC230" s="72">
        <v>0</v>
      </c>
      <c r="AD230" s="68" t="str">
        <f t="shared" si="10"/>
        <v>0년 0개월</v>
      </c>
      <c r="AE230" s="72">
        <f ca="1">(재직자!$AL$1-J230)/30</f>
        <v>61.4</v>
      </c>
      <c r="AF230" s="68" t="str">
        <f t="shared" ca="1" si="11"/>
        <v>5년 1개월</v>
      </c>
      <c r="AG230" s="72">
        <f t="shared" ca="1" si="12"/>
        <v>61.4</v>
      </c>
      <c r="AH230" s="72" t="str">
        <f t="shared" ca="1" si="13"/>
        <v>5년 1개월</v>
      </c>
      <c r="AI230" s="73" t="s">
        <v>2005</v>
      </c>
      <c r="AJ230" s="68" t="s">
        <v>2006</v>
      </c>
      <c r="AK230" s="74" t="s">
        <v>2007</v>
      </c>
      <c r="AL230" s="68"/>
      <c r="AM230" s="68" t="s">
        <v>2008</v>
      </c>
      <c r="AN230" s="76" t="s">
        <v>2009</v>
      </c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</row>
    <row r="231" spans="1:54" ht="16.5" customHeight="1">
      <c r="A231" s="33" t="s">
        <v>224</v>
      </c>
      <c r="B231" s="37">
        <v>200205</v>
      </c>
      <c r="C231" s="33" t="s">
        <v>226</v>
      </c>
      <c r="D231" s="37" t="s">
        <v>2010</v>
      </c>
      <c r="E231" s="37" t="s">
        <v>34</v>
      </c>
      <c r="F231" s="38"/>
      <c r="G231" s="34" t="s">
        <v>52</v>
      </c>
      <c r="H231" s="34"/>
      <c r="I231" s="37" t="s">
        <v>2011</v>
      </c>
      <c r="J231" s="36">
        <v>43880</v>
      </c>
      <c r="K231" s="36"/>
      <c r="L231" s="36">
        <v>44302</v>
      </c>
      <c r="M231" s="37" t="s">
        <v>196</v>
      </c>
      <c r="N231" s="37" t="s">
        <v>208</v>
      </c>
      <c r="O231" s="37" t="s">
        <v>457</v>
      </c>
      <c r="P231" s="37" t="s">
        <v>931</v>
      </c>
      <c r="Q231" s="37" t="s">
        <v>198</v>
      </c>
      <c r="R231" s="36">
        <v>41512</v>
      </c>
      <c r="S231" s="37" t="s">
        <v>275</v>
      </c>
      <c r="T231" s="36">
        <v>38145</v>
      </c>
      <c r="U231" s="37" t="s">
        <v>1994</v>
      </c>
      <c r="V231" s="36">
        <v>38516</v>
      </c>
      <c r="W231" s="37" t="s">
        <v>2012</v>
      </c>
      <c r="X231" s="36">
        <v>39563</v>
      </c>
      <c r="Y231" s="37"/>
      <c r="Z231" s="37"/>
      <c r="AA231" s="37"/>
      <c r="AB231" s="37"/>
      <c r="AC231" s="39">
        <v>197</v>
      </c>
      <c r="AD231" s="37" t="str">
        <f t="shared" si="10"/>
        <v>16년 5개월</v>
      </c>
      <c r="AE231" s="39">
        <f ca="1">(재직자!$AL$1-J231)/30</f>
        <v>74.466666666666669</v>
      </c>
      <c r="AF231" s="37" t="str">
        <f t="shared" ca="1" si="11"/>
        <v>6년 2개월</v>
      </c>
      <c r="AG231" s="39">
        <f t="shared" ca="1" si="12"/>
        <v>271.4666666666667</v>
      </c>
      <c r="AH231" s="39" t="str">
        <f t="shared" ca="1" si="13"/>
        <v>22년 7개월</v>
      </c>
      <c r="AI231" s="44" t="s">
        <v>2013</v>
      </c>
      <c r="AJ231" s="37" t="s">
        <v>2014</v>
      </c>
      <c r="AK231" s="50" t="s">
        <v>2015</v>
      </c>
      <c r="AL231" s="37"/>
      <c r="AM231" s="37" t="s">
        <v>2016</v>
      </c>
      <c r="AN231" s="54" t="s">
        <v>2017</v>
      </c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</row>
    <row r="232" spans="1:54" ht="16.5" customHeight="1">
      <c r="A232" s="33" t="s">
        <v>2018</v>
      </c>
      <c r="B232" s="37">
        <v>210404</v>
      </c>
      <c r="C232" s="33" t="s">
        <v>924</v>
      </c>
      <c r="D232" s="37" t="s">
        <v>2019</v>
      </c>
      <c r="E232" s="37" t="s">
        <v>88</v>
      </c>
      <c r="F232" s="38"/>
      <c r="G232" s="34" t="s">
        <v>52</v>
      </c>
      <c r="H232" s="34"/>
      <c r="I232" s="37" t="s">
        <v>2020</v>
      </c>
      <c r="J232" s="36">
        <v>44298</v>
      </c>
      <c r="K232" s="36"/>
      <c r="L232" s="36">
        <v>44302</v>
      </c>
      <c r="M232" s="37" t="s">
        <v>153</v>
      </c>
      <c r="N232" s="37" t="s">
        <v>982</v>
      </c>
      <c r="O232" s="37" t="s">
        <v>1133</v>
      </c>
      <c r="P232" s="37" t="s">
        <v>711</v>
      </c>
      <c r="Q232" s="37" t="s">
        <v>209</v>
      </c>
      <c r="R232" s="36">
        <v>39492</v>
      </c>
      <c r="S232" s="37"/>
      <c r="T232" s="36"/>
      <c r="U232" s="37"/>
      <c r="V232" s="36"/>
      <c r="W232" s="37"/>
      <c r="X232" s="36"/>
      <c r="Y232" s="37"/>
      <c r="Z232" s="37"/>
      <c r="AA232" s="37"/>
      <c r="AB232" s="37"/>
      <c r="AC232" s="39">
        <v>67</v>
      </c>
      <c r="AD232" s="37" t="str">
        <f t="shared" si="10"/>
        <v>5년 7개월</v>
      </c>
      <c r="AE232" s="39">
        <f ca="1">(재직자!$AL$1-J232)/30</f>
        <v>60.533333333333331</v>
      </c>
      <c r="AF232" s="37" t="str">
        <f t="shared" ca="1" si="11"/>
        <v>5년 0개월</v>
      </c>
      <c r="AG232" s="39">
        <f t="shared" ca="1" si="12"/>
        <v>127.53333333333333</v>
      </c>
      <c r="AH232" s="39" t="str">
        <f t="shared" ca="1" si="13"/>
        <v>10년 7개월</v>
      </c>
      <c r="AI232" s="44" t="s">
        <v>2021</v>
      </c>
      <c r="AJ232" s="37" t="s">
        <v>2022</v>
      </c>
      <c r="AK232" s="50" t="s">
        <v>2023</v>
      </c>
      <c r="AL232" s="37"/>
      <c r="AM232" s="37" t="s">
        <v>2024</v>
      </c>
      <c r="AN232" s="54" t="s">
        <v>2025</v>
      </c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</row>
    <row r="233" spans="1:54" ht="16.5" customHeight="1">
      <c r="A233" s="33" t="s">
        <v>998</v>
      </c>
      <c r="B233" s="37">
        <v>200703</v>
      </c>
      <c r="C233" s="33" t="s">
        <v>193</v>
      </c>
      <c r="D233" s="37" t="s">
        <v>2026</v>
      </c>
      <c r="E233" s="37" t="s">
        <v>228</v>
      </c>
      <c r="F233" s="38"/>
      <c r="G233" s="34" t="s">
        <v>1878</v>
      </c>
      <c r="H233" s="34"/>
      <c r="I233" s="37" t="s">
        <v>2027</v>
      </c>
      <c r="J233" s="36">
        <v>44032</v>
      </c>
      <c r="K233" s="36"/>
      <c r="L233" s="36">
        <v>44316</v>
      </c>
      <c r="M233" s="37" t="s">
        <v>153</v>
      </c>
      <c r="N233" s="37" t="s">
        <v>731</v>
      </c>
      <c r="O233" s="37" t="s">
        <v>1993</v>
      </c>
      <c r="P233" s="37" t="s">
        <v>711</v>
      </c>
      <c r="Q233" s="37" t="s">
        <v>209</v>
      </c>
      <c r="R233" s="36">
        <v>40056</v>
      </c>
      <c r="S233" s="37" t="s">
        <v>275</v>
      </c>
      <c r="T233" s="36">
        <v>39601</v>
      </c>
      <c r="U233" s="37"/>
      <c r="V233" s="36"/>
      <c r="W233" s="37"/>
      <c r="X233" s="36"/>
      <c r="Y233" s="37"/>
      <c r="Z233" s="37"/>
      <c r="AA233" s="37"/>
      <c r="AB233" s="37"/>
      <c r="AC233" s="39">
        <v>209</v>
      </c>
      <c r="AD233" s="37" t="str">
        <f t="shared" si="10"/>
        <v>17년 5개월</v>
      </c>
      <c r="AE233" s="39">
        <f ca="1">(재직자!$AL$1-J233)/30</f>
        <v>69.400000000000006</v>
      </c>
      <c r="AF233" s="37" t="str">
        <f t="shared" ca="1" si="11"/>
        <v>5년 9개월</v>
      </c>
      <c r="AG233" s="39">
        <f t="shared" ca="1" si="12"/>
        <v>278.39999999999998</v>
      </c>
      <c r="AH233" s="39" t="str">
        <f t="shared" ca="1" si="13"/>
        <v>23년 2개월</v>
      </c>
      <c r="AI233" s="44" t="s">
        <v>2028</v>
      </c>
      <c r="AJ233" s="37" t="s">
        <v>2029</v>
      </c>
      <c r="AK233" s="50" t="s">
        <v>2030</v>
      </c>
      <c r="AL233" s="37"/>
      <c r="AM233" s="37" t="s">
        <v>2031</v>
      </c>
      <c r="AN233" s="54" t="s">
        <v>2032</v>
      </c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</row>
    <row r="234" spans="1:54" ht="16.5" customHeight="1">
      <c r="A234" s="33" t="s">
        <v>359</v>
      </c>
      <c r="B234" s="37">
        <v>200802</v>
      </c>
      <c r="C234" s="33" t="s">
        <v>226</v>
      </c>
      <c r="D234" s="37" t="s">
        <v>2033</v>
      </c>
      <c r="E234" s="37" t="s">
        <v>228</v>
      </c>
      <c r="F234" s="38"/>
      <c r="G234" s="34" t="s">
        <v>52</v>
      </c>
      <c r="H234" s="34"/>
      <c r="I234" s="37" t="s">
        <v>2034</v>
      </c>
      <c r="J234" s="36">
        <v>44061</v>
      </c>
      <c r="K234" s="36"/>
      <c r="L234" s="36">
        <v>44341</v>
      </c>
      <c r="M234" s="37" t="s">
        <v>146</v>
      </c>
      <c r="N234" s="37" t="s">
        <v>2035</v>
      </c>
      <c r="O234" s="37" t="s">
        <v>1442</v>
      </c>
      <c r="P234" s="37" t="s">
        <v>2036</v>
      </c>
      <c r="Q234" s="37" t="s">
        <v>265</v>
      </c>
      <c r="R234" s="36">
        <v>36547</v>
      </c>
      <c r="S234" s="37"/>
      <c r="T234" s="36"/>
      <c r="U234" s="37"/>
      <c r="V234" s="36"/>
      <c r="W234" s="37"/>
      <c r="X234" s="37"/>
      <c r="Y234" s="37"/>
      <c r="Z234" s="37"/>
      <c r="AA234" s="37"/>
      <c r="AB234" s="37"/>
      <c r="AC234" s="39">
        <v>232</v>
      </c>
      <c r="AD234" s="37" t="str">
        <f t="shared" ref="AD234:AD297" si="14">(TRUNC(AC234/12))&amp;"년 "&amp;(ROUNDDOWN(MOD(AC234,12),0))&amp;"개월"</f>
        <v>19년 4개월</v>
      </c>
      <c r="AE234" s="39">
        <f ca="1">(재직자!$AL$1-J234)/30</f>
        <v>68.433333333333337</v>
      </c>
      <c r="AF234" s="37" t="str">
        <f t="shared" ref="AF234:AF297" ca="1" si="15">(TRUNC(AE234/12))&amp;"년 "&amp;(ROUNDDOWN(MOD(AE234,12),0))&amp;"개월"</f>
        <v>5년 8개월</v>
      </c>
      <c r="AG234" s="39">
        <f t="shared" ref="AG234:AG297" ca="1" si="16">+AC234+AE234</f>
        <v>300.43333333333334</v>
      </c>
      <c r="AH234" s="39" t="str">
        <f t="shared" ref="AH234:AH297" ca="1" si="17">(TRUNC(AG234/12))&amp;"년 "&amp;(ROUNDDOWN(MOD(AG234,12),0))&amp;"개월"</f>
        <v>25년 0개월</v>
      </c>
      <c r="AI234" s="44" t="s">
        <v>2037</v>
      </c>
      <c r="AJ234" s="37" t="s">
        <v>2038</v>
      </c>
      <c r="AK234" s="50" t="s">
        <v>2039</v>
      </c>
      <c r="AL234" s="37"/>
      <c r="AM234" s="37" t="s">
        <v>2040</v>
      </c>
      <c r="AN234" s="54" t="s">
        <v>2041</v>
      </c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</row>
    <row r="235" spans="1:54" ht="16.5" customHeight="1">
      <c r="A235" s="33" t="s">
        <v>652</v>
      </c>
      <c r="B235" s="33" t="s">
        <v>2042</v>
      </c>
      <c r="C235" s="33" t="s">
        <v>226</v>
      </c>
      <c r="D235" s="34" t="s">
        <v>2043</v>
      </c>
      <c r="E235" s="34" t="s">
        <v>139</v>
      </c>
      <c r="F235" s="34"/>
      <c r="G235" s="34" t="s">
        <v>120</v>
      </c>
      <c r="H235" s="34"/>
      <c r="I235" s="35" t="s">
        <v>2044</v>
      </c>
      <c r="J235" s="36">
        <v>43787</v>
      </c>
      <c r="K235" s="36">
        <v>44228</v>
      </c>
      <c r="L235" s="36">
        <v>44377</v>
      </c>
      <c r="M235" s="37" t="s">
        <v>153</v>
      </c>
      <c r="N235" s="37" t="s">
        <v>1092</v>
      </c>
      <c r="O235" s="38" t="s">
        <v>2045</v>
      </c>
      <c r="P235" s="38" t="s">
        <v>711</v>
      </c>
      <c r="Q235" s="37" t="s">
        <v>209</v>
      </c>
      <c r="R235" s="36">
        <v>36599</v>
      </c>
      <c r="S235" s="37"/>
      <c r="T235" s="36"/>
      <c r="U235" s="37"/>
      <c r="V235" s="36"/>
      <c r="W235" s="37"/>
      <c r="X235" s="36"/>
      <c r="Y235" s="37"/>
      <c r="Z235" s="37"/>
      <c r="AA235" s="36"/>
      <c r="AB235" s="37"/>
      <c r="AC235" s="39">
        <v>236</v>
      </c>
      <c r="AD235" s="38" t="str">
        <f t="shared" si="14"/>
        <v>19년 8개월</v>
      </c>
      <c r="AE235" s="39">
        <f ca="1">(재직자!$AL$1-J235)/30</f>
        <v>77.566666666666663</v>
      </c>
      <c r="AF235" s="39" t="str">
        <f t="shared" ca="1" si="15"/>
        <v>6년 5개월</v>
      </c>
      <c r="AG235" s="39">
        <f t="shared" ca="1" si="16"/>
        <v>313.56666666666666</v>
      </c>
      <c r="AH235" s="39" t="str">
        <f t="shared" ca="1" si="17"/>
        <v>26년 1개월</v>
      </c>
      <c r="AI235" s="43" t="s">
        <v>2046</v>
      </c>
      <c r="AJ235" s="33" t="s">
        <v>2047</v>
      </c>
      <c r="AK235" s="62" t="s">
        <v>2048</v>
      </c>
      <c r="AL235" s="67"/>
      <c r="AM235" s="37" t="s">
        <v>2049</v>
      </c>
      <c r="AN235" s="54" t="s">
        <v>1543</v>
      </c>
      <c r="AO235" s="32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</row>
    <row r="236" spans="1:54" ht="16.5" customHeight="1">
      <c r="A236" s="33" t="s">
        <v>2050</v>
      </c>
      <c r="B236" s="37">
        <v>210402</v>
      </c>
      <c r="C236" s="33" t="s">
        <v>2051</v>
      </c>
      <c r="D236" s="37" t="s">
        <v>2052</v>
      </c>
      <c r="E236" s="37" t="s">
        <v>228</v>
      </c>
      <c r="F236" s="38"/>
      <c r="G236" s="34" t="s">
        <v>2053</v>
      </c>
      <c r="H236" s="34"/>
      <c r="I236" s="37" t="s">
        <v>2054</v>
      </c>
      <c r="J236" s="36">
        <v>44287</v>
      </c>
      <c r="K236" s="36"/>
      <c r="L236" s="36">
        <v>44400</v>
      </c>
      <c r="M236" s="37" t="s">
        <v>196</v>
      </c>
      <c r="N236" s="37" t="s">
        <v>1679</v>
      </c>
      <c r="O236" s="37" t="s">
        <v>2055</v>
      </c>
      <c r="P236" s="37" t="s">
        <v>711</v>
      </c>
      <c r="Q236" s="37" t="s">
        <v>198</v>
      </c>
      <c r="R236" s="36">
        <v>38765</v>
      </c>
      <c r="S236" s="37"/>
      <c r="T236" s="36"/>
      <c r="U236" s="37"/>
      <c r="V236" s="36"/>
      <c r="W236" s="37"/>
      <c r="X236" s="36"/>
      <c r="Y236" s="37"/>
      <c r="Z236" s="37"/>
      <c r="AA236" s="37"/>
      <c r="AB236" s="37"/>
      <c r="AC236" s="39">
        <v>101</v>
      </c>
      <c r="AD236" s="37" t="str">
        <f t="shared" si="14"/>
        <v>8년 5개월</v>
      </c>
      <c r="AE236" s="39">
        <f ca="1">(재직자!$AL$1-J236)/30</f>
        <v>60.9</v>
      </c>
      <c r="AF236" s="37" t="str">
        <f t="shared" ca="1" si="15"/>
        <v>5년 0개월</v>
      </c>
      <c r="AG236" s="39">
        <f t="shared" ca="1" si="16"/>
        <v>161.9</v>
      </c>
      <c r="AH236" s="39" t="str">
        <f t="shared" ca="1" si="17"/>
        <v>13년 5개월</v>
      </c>
      <c r="AI236" s="44" t="s">
        <v>2056</v>
      </c>
      <c r="AJ236" s="37" t="s">
        <v>2057</v>
      </c>
      <c r="AK236" s="50" t="s">
        <v>2058</v>
      </c>
      <c r="AL236" s="37"/>
      <c r="AM236" s="37" t="s">
        <v>2059</v>
      </c>
      <c r="AN236" s="54" t="s">
        <v>1732</v>
      </c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</row>
    <row r="237" spans="1:54" ht="16.5" customHeight="1">
      <c r="A237" s="33" t="s">
        <v>2060</v>
      </c>
      <c r="B237" s="37">
        <v>200704</v>
      </c>
      <c r="C237" s="33" t="s">
        <v>924</v>
      </c>
      <c r="D237" s="37" t="s">
        <v>2061</v>
      </c>
      <c r="E237" s="37" t="s">
        <v>51</v>
      </c>
      <c r="F237" s="38"/>
      <c r="G237" s="34" t="s">
        <v>1878</v>
      </c>
      <c r="H237" s="34"/>
      <c r="I237" s="37" t="s">
        <v>2062</v>
      </c>
      <c r="J237" s="36">
        <v>44032</v>
      </c>
      <c r="K237" s="36"/>
      <c r="L237" s="36">
        <v>44408</v>
      </c>
      <c r="M237" s="37" t="s">
        <v>448</v>
      </c>
      <c r="N237" s="37" t="s">
        <v>2063</v>
      </c>
      <c r="O237" s="37" t="s">
        <v>2064</v>
      </c>
      <c r="P237" s="37" t="s">
        <v>711</v>
      </c>
      <c r="Q237" s="37" t="s">
        <v>448</v>
      </c>
      <c r="R237" s="36">
        <v>41683</v>
      </c>
      <c r="S237" s="37"/>
      <c r="T237" s="36"/>
      <c r="U237" s="37" t="s">
        <v>1882</v>
      </c>
      <c r="V237" s="36">
        <v>44019</v>
      </c>
      <c r="W237" s="37" t="s">
        <v>1883</v>
      </c>
      <c r="X237" s="36">
        <v>43984</v>
      </c>
      <c r="Y237" s="37"/>
      <c r="Z237" s="37"/>
      <c r="AA237" s="37"/>
      <c r="AB237" s="37"/>
      <c r="AC237" s="39">
        <v>0</v>
      </c>
      <c r="AD237" s="37" t="str">
        <f t="shared" si="14"/>
        <v>0년 0개월</v>
      </c>
      <c r="AE237" s="39">
        <f ca="1">(재직자!$AL$1-J237)/30</f>
        <v>69.400000000000006</v>
      </c>
      <c r="AF237" s="37" t="str">
        <f t="shared" ca="1" si="15"/>
        <v>5년 9개월</v>
      </c>
      <c r="AG237" s="39">
        <f t="shared" ca="1" si="16"/>
        <v>69.400000000000006</v>
      </c>
      <c r="AH237" s="39" t="str">
        <f t="shared" ca="1" si="17"/>
        <v>5년 9개월</v>
      </c>
      <c r="AI237" s="44" t="s">
        <v>2065</v>
      </c>
      <c r="AJ237" s="37" t="s">
        <v>2066</v>
      </c>
      <c r="AK237" s="50" t="s">
        <v>2067</v>
      </c>
      <c r="AL237" s="37"/>
      <c r="AM237" s="37" t="s">
        <v>2068</v>
      </c>
      <c r="AN237" s="54" t="s">
        <v>2069</v>
      </c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</row>
    <row r="238" spans="1:54" ht="16.5" customHeight="1">
      <c r="A238" s="33" t="s">
        <v>2070</v>
      </c>
      <c r="B238" s="68">
        <v>210205</v>
      </c>
      <c r="C238" s="33" t="s">
        <v>226</v>
      </c>
      <c r="D238" s="68" t="s">
        <v>2071</v>
      </c>
      <c r="E238" s="68" t="s">
        <v>228</v>
      </c>
      <c r="F238" s="69"/>
      <c r="G238" s="70" t="s">
        <v>463</v>
      </c>
      <c r="H238" s="70"/>
      <c r="I238" s="68" t="s">
        <v>2072</v>
      </c>
      <c r="J238" s="71">
        <v>44242</v>
      </c>
      <c r="K238" s="71"/>
      <c r="L238" s="36">
        <v>44408</v>
      </c>
      <c r="M238" s="68" t="s">
        <v>196</v>
      </c>
      <c r="N238" s="68" t="s">
        <v>1132</v>
      </c>
      <c r="O238" s="68" t="s">
        <v>2073</v>
      </c>
      <c r="P238" s="68" t="s">
        <v>711</v>
      </c>
      <c r="Q238" s="68" t="s">
        <v>198</v>
      </c>
      <c r="R238" s="71">
        <v>39490</v>
      </c>
      <c r="S238" s="68"/>
      <c r="T238" s="71"/>
      <c r="U238" s="68"/>
      <c r="V238" s="71"/>
      <c r="W238" s="68"/>
      <c r="X238" s="71"/>
      <c r="Y238" s="68"/>
      <c r="Z238" s="68"/>
      <c r="AA238" s="68"/>
      <c r="AB238" s="68"/>
      <c r="AC238" s="72">
        <v>130</v>
      </c>
      <c r="AD238" s="68" t="str">
        <f t="shared" si="14"/>
        <v>10년 10개월</v>
      </c>
      <c r="AE238" s="72">
        <f ca="1">(재직자!$AL$1-J238)/30</f>
        <v>62.4</v>
      </c>
      <c r="AF238" s="68" t="str">
        <f t="shared" ca="1" si="15"/>
        <v>5년 2개월</v>
      </c>
      <c r="AG238" s="72">
        <f t="shared" ca="1" si="16"/>
        <v>192.4</v>
      </c>
      <c r="AH238" s="72" t="str">
        <f t="shared" ca="1" si="17"/>
        <v>16년 0개월</v>
      </c>
      <c r="AI238" s="73" t="s">
        <v>2074</v>
      </c>
      <c r="AJ238" s="68" t="s">
        <v>2075</v>
      </c>
      <c r="AK238" s="74" t="s">
        <v>2076</v>
      </c>
      <c r="AL238" s="68"/>
      <c r="AM238" s="37" t="s">
        <v>2077</v>
      </c>
      <c r="AN238" s="54" t="s">
        <v>2078</v>
      </c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</row>
    <row r="239" spans="1:54" ht="16.5" customHeight="1">
      <c r="A239" s="33" t="s">
        <v>2079</v>
      </c>
      <c r="B239" s="37">
        <v>210401</v>
      </c>
      <c r="C239" s="33" t="s">
        <v>924</v>
      </c>
      <c r="D239" s="37" t="s">
        <v>2080</v>
      </c>
      <c r="E239" s="37" t="s">
        <v>34</v>
      </c>
      <c r="F239" s="38"/>
      <c r="G239" s="34" t="s">
        <v>52</v>
      </c>
      <c r="H239" s="34"/>
      <c r="I239" s="37" t="s">
        <v>2081</v>
      </c>
      <c r="J239" s="36">
        <v>44287</v>
      </c>
      <c r="K239" s="36"/>
      <c r="L239" s="36">
        <v>44408</v>
      </c>
      <c r="M239" s="37" t="s">
        <v>153</v>
      </c>
      <c r="N239" s="37" t="s">
        <v>991</v>
      </c>
      <c r="O239" s="37" t="s">
        <v>457</v>
      </c>
      <c r="P239" s="37" t="s">
        <v>964</v>
      </c>
      <c r="Q239" s="37" t="s">
        <v>209</v>
      </c>
      <c r="R239" s="36">
        <v>38770</v>
      </c>
      <c r="S239" s="37" t="s">
        <v>275</v>
      </c>
      <c r="T239" s="36">
        <v>38586</v>
      </c>
      <c r="U239" s="37"/>
      <c r="V239" s="36"/>
      <c r="W239" s="37"/>
      <c r="X239" s="36"/>
      <c r="Y239" s="37"/>
      <c r="Z239" s="37"/>
      <c r="AA239" s="37"/>
      <c r="AB239" s="37"/>
      <c r="AC239" s="39">
        <v>126</v>
      </c>
      <c r="AD239" s="37" t="str">
        <f t="shared" si="14"/>
        <v>10년 6개월</v>
      </c>
      <c r="AE239" s="39">
        <f ca="1">(재직자!$AL$1-J239)/30</f>
        <v>60.9</v>
      </c>
      <c r="AF239" s="37" t="str">
        <f t="shared" ca="1" si="15"/>
        <v>5년 0개월</v>
      </c>
      <c r="AG239" s="39">
        <f t="shared" ca="1" si="16"/>
        <v>186.9</v>
      </c>
      <c r="AH239" s="39" t="str">
        <f t="shared" ca="1" si="17"/>
        <v>15년 6개월</v>
      </c>
      <c r="AI239" s="44" t="s">
        <v>2082</v>
      </c>
      <c r="AJ239" s="37" t="s">
        <v>2083</v>
      </c>
      <c r="AK239" s="50" t="s">
        <v>2084</v>
      </c>
      <c r="AL239" s="37"/>
      <c r="AM239" s="37" t="s">
        <v>2085</v>
      </c>
      <c r="AN239" s="54" t="s">
        <v>2086</v>
      </c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</row>
    <row r="240" spans="1:54" ht="16.5" customHeight="1">
      <c r="A240" s="33" t="s">
        <v>2087</v>
      </c>
      <c r="B240" s="68">
        <v>210303</v>
      </c>
      <c r="C240" s="77" t="s">
        <v>924</v>
      </c>
      <c r="D240" s="68" t="s">
        <v>2088</v>
      </c>
      <c r="E240" s="68" t="s">
        <v>51</v>
      </c>
      <c r="F240" s="69"/>
      <c r="G240" s="70" t="s">
        <v>1878</v>
      </c>
      <c r="H240" s="70"/>
      <c r="I240" s="68" t="s">
        <v>2089</v>
      </c>
      <c r="J240" s="71">
        <v>44257</v>
      </c>
      <c r="K240" s="71"/>
      <c r="L240" s="71">
        <v>44435</v>
      </c>
      <c r="M240" s="68" t="s">
        <v>153</v>
      </c>
      <c r="N240" s="68" t="s">
        <v>2090</v>
      </c>
      <c r="O240" s="68" t="s">
        <v>2091</v>
      </c>
      <c r="P240" s="68" t="s">
        <v>1794</v>
      </c>
      <c r="Q240" s="68" t="s">
        <v>209</v>
      </c>
      <c r="R240" s="71">
        <v>42049</v>
      </c>
      <c r="S240" s="68" t="s">
        <v>275</v>
      </c>
      <c r="T240" s="71">
        <v>43607</v>
      </c>
      <c r="U240" s="68" t="s">
        <v>2092</v>
      </c>
      <c r="V240" s="71">
        <v>43455</v>
      </c>
      <c r="W240" s="68" t="s">
        <v>2093</v>
      </c>
      <c r="X240" s="71">
        <v>44103</v>
      </c>
      <c r="Y240" s="68"/>
      <c r="Z240" s="68"/>
      <c r="AA240" s="68"/>
      <c r="AB240" s="68"/>
      <c r="AC240" s="72">
        <v>15</v>
      </c>
      <c r="AD240" s="68" t="str">
        <f t="shared" si="14"/>
        <v>1년 3개월</v>
      </c>
      <c r="AE240" s="72">
        <f ca="1">(재직자!$AL$1-J240)/30</f>
        <v>61.9</v>
      </c>
      <c r="AF240" s="68" t="str">
        <f t="shared" ca="1" si="15"/>
        <v>5년 1개월</v>
      </c>
      <c r="AG240" s="72">
        <f t="shared" ca="1" si="16"/>
        <v>76.900000000000006</v>
      </c>
      <c r="AH240" s="72" t="str">
        <f t="shared" ca="1" si="17"/>
        <v>6년 4개월</v>
      </c>
      <c r="AI240" s="73" t="s">
        <v>2094</v>
      </c>
      <c r="AJ240" s="68" t="s">
        <v>2095</v>
      </c>
      <c r="AK240" s="74" t="s">
        <v>2096</v>
      </c>
      <c r="AL240" s="68"/>
      <c r="AM240" s="68" t="s">
        <v>2097</v>
      </c>
      <c r="AN240" s="76" t="s">
        <v>2098</v>
      </c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</row>
    <row r="241" spans="1:54" ht="16.5" customHeight="1">
      <c r="A241" s="33" t="s">
        <v>1267</v>
      </c>
      <c r="B241" s="33" t="s">
        <v>2099</v>
      </c>
      <c r="C241" s="33" t="s">
        <v>924</v>
      </c>
      <c r="D241" s="34" t="s">
        <v>2100</v>
      </c>
      <c r="E241" s="34" t="s">
        <v>88</v>
      </c>
      <c r="F241" s="34" t="s">
        <v>2101</v>
      </c>
      <c r="G241" s="34" t="s">
        <v>52</v>
      </c>
      <c r="H241" s="34"/>
      <c r="I241" s="35" t="s">
        <v>2102</v>
      </c>
      <c r="J241" s="36">
        <v>42948</v>
      </c>
      <c r="K241" s="36">
        <v>43891</v>
      </c>
      <c r="L241" s="36">
        <v>44439</v>
      </c>
      <c r="M241" s="37" t="s">
        <v>153</v>
      </c>
      <c r="N241" s="37" t="s">
        <v>541</v>
      </c>
      <c r="O241" s="38" t="s">
        <v>2103</v>
      </c>
      <c r="P241" s="38" t="s">
        <v>2036</v>
      </c>
      <c r="Q241" s="37" t="s">
        <v>209</v>
      </c>
      <c r="R241" s="36">
        <v>41320</v>
      </c>
      <c r="S241" s="37" t="s">
        <v>275</v>
      </c>
      <c r="T241" s="36"/>
      <c r="U241" s="37" t="s">
        <v>764</v>
      </c>
      <c r="V241" s="36"/>
      <c r="W241" s="37"/>
      <c r="X241" s="36"/>
      <c r="Y241" s="37"/>
      <c r="Z241" s="37"/>
      <c r="AA241" s="36"/>
      <c r="AB241" s="37"/>
      <c r="AC241" s="39">
        <v>52</v>
      </c>
      <c r="AD241" s="38" t="str">
        <f t="shared" si="14"/>
        <v>4년 4개월</v>
      </c>
      <c r="AE241" s="39">
        <f ca="1">(재직자!$AL$1-J241)/30</f>
        <v>105.53333333333333</v>
      </c>
      <c r="AF241" s="39" t="str">
        <f t="shared" ca="1" si="15"/>
        <v>8년 9개월</v>
      </c>
      <c r="AG241" s="39">
        <f t="shared" ca="1" si="16"/>
        <v>157.53333333333333</v>
      </c>
      <c r="AH241" s="39" t="str">
        <f t="shared" ca="1" si="17"/>
        <v>13년 1개월</v>
      </c>
      <c r="AI241" s="43" t="s">
        <v>2104</v>
      </c>
      <c r="AJ241" s="33" t="s">
        <v>2105</v>
      </c>
      <c r="AK241" s="62" t="s">
        <v>2106</v>
      </c>
      <c r="AL241" s="37"/>
      <c r="AM241" s="37" t="s">
        <v>2107</v>
      </c>
      <c r="AN241" s="54" t="s">
        <v>2108</v>
      </c>
      <c r="AO241" s="32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</row>
    <row r="242" spans="1:54" ht="16.5" customHeight="1">
      <c r="A242" s="33" t="s">
        <v>425</v>
      </c>
      <c r="B242" s="33" t="s">
        <v>2109</v>
      </c>
      <c r="C242" s="33" t="s">
        <v>193</v>
      </c>
      <c r="D242" s="34" t="s">
        <v>2110</v>
      </c>
      <c r="E242" s="34" t="s">
        <v>34</v>
      </c>
      <c r="F242" s="34" t="s">
        <v>2111</v>
      </c>
      <c r="G242" s="34" t="s">
        <v>1685</v>
      </c>
      <c r="H242" s="34"/>
      <c r="I242" s="35" t="s">
        <v>2112</v>
      </c>
      <c r="J242" s="36">
        <v>43439</v>
      </c>
      <c r="K242" s="36"/>
      <c r="L242" s="36">
        <v>44439</v>
      </c>
      <c r="M242" s="37" t="s">
        <v>146</v>
      </c>
      <c r="N242" s="37" t="s">
        <v>1880</v>
      </c>
      <c r="O242" s="38" t="s">
        <v>499</v>
      </c>
      <c r="P242" s="38" t="s">
        <v>964</v>
      </c>
      <c r="Q242" s="37" t="s">
        <v>265</v>
      </c>
      <c r="R242" s="36">
        <v>36567</v>
      </c>
      <c r="S242" s="37"/>
      <c r="T242" s="36"/>
      <c r="U242" s="37"/>
      <c r="V242" s="36"/>
      <c r="W242" s="37"/>
      <c r="X242" s="36"/>
      <c r="Y242" s="37"/>
      <c r="Z242" s="37"/>
      <c r="AA242" s="36"/>
      <c r="AB242" s="37"/>
      <c r="AC242" s="39">
        <v>214</v>
      </c>
      <c r="AD242" s="38" t="str">
        <f t="shared" si="14"/>
        <v>17년 10개월</v>
      </c>
      <c r="AE242" s="39">
        <f ca="1">(재직자!$AL$1-J242)/30</f>
        <v>89.166666666666671</v>
      </c>
      <c r="AF242" s="39" t="str">
        <f t="shared" ca="1" si="15"/>
        <v>7년 5개월</v>
      </c>
      <c r="AG242" s="39">
        <f t="shared" ca="1" si="16"/>
        <v>303.16666666666669</v>
      </c>
      <c r="AH242" s="39" t="str">
        <f t="shared" ca="1" si="17"/>
        <v>25년 3개월</v>
      </c>
      <c r="AI242" s="43" t="s">
        <v>2113</v>
      </c>
      <c r="AJ242" s="33" t="s">
        <v>2114</v>
      </c>
      <c r="AK242" s="62" t="s">
        <v>2115</v>
      </c>
      <c r="AL242" s="67"/>
      <c r="AM242" s="37" t="s">
        <v>2116</v>
      </c>
      <c r="AN242" s="54" t="s">
        <v>807</v>
      </c>
      <c r="AO242" s="32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</row>
    <row r="243" spans="1:54" ht="16.5" customHeight="1">
      <c r="A243" s="33" t="s">
        <v>2018</v>
      </c>
      <c r="B243" s="37">
        <v>210503</v>
      </c>
      <c r="C243" s="33" t="s">
        <v>193</v>
      </c>
      <c r="D243" s="37" t="s">
        <v>2117</v>
      </c>
      <c r="E243" s="37" t="s">
        <v>34</v>
      </c>
      <c r="F243" s="38"/>
      <c r="G243" s="34" t="s">
        <v>1644</v>
      </c>
      <c r="H243" s="34"/>
      <c r="I243" s="37" t="s">
        <v>2118</v>
      </c>
      <c r="J243" s="36">
        <v>44319</v>
      </c>
      <c r="K243" s="36"/>
      <c r="L243" s="36">
        <v>44439</v>
      </c>
      <c r="M243" s="37" t="s">
        <v>146</v>
      </c>
      <c r="N243" s="37" t="s">
        <v>2119</v>
      </c>
      <c r="O243" s="37" t="s">
        <v>2120</v>
      </c>
      <c r="P243" s="37" t="s">
        <v>711</v>
      </c>
      <c r="Q243" s="37" t="s">
        <v>265</v>
      </c>
      <c r="R243" s="36">
        <v>38037</v>
      </c>
      <c r="S243" s="37" t="s">
        <v>405</v>
      </c>
      <c r="T243" s="36">
        <v>38215</v>
      </c>
      <c r="U243" s="37"/>
      <c r="V243" s="36"/>
      <c r="W243" s="37"/>
      <c r="X243" s="36"/>
      <c r="Y243" s="37"/>
      <c r="Z243" s="37"/>
      <c r="AA243" s="37"/>
      <c r="AB243" s="37"/>
      <c r="AC243" s="39">
        <v>141</v>
      </c>
      <c r="AD243" s="37" t="str">
        <f t="shared" si="14"/>
        <v>11년 9개월</v>
      </c>
      <c r="AE243" s="39">
        <f ca="1">(재직자!$AL$1-J243)/30</f>
        <v>59.833333333333336</v>
      </c>
      <c r="AF243" s="37" t="str">
        <f t="shared" ca="1" si="15"/>
        <v>4년 11개월</v>
      </c>
      <c r="AG243" s="39">
        <f t="shared" ca="1" si="16"/>
        <v>200.83333333333334</v>
      </c>
      <c r="AH243" s="39" t="str">
        <f t="shared" ca="1" si="17"/>
        <v>16년 8개월</v>
      </c>
      <c r="AI243" s="44" t="s">
        <v>2121</v>
      </c>
      <c r="AJ243" s="37" t="s">
        <v>2122</v>
      </c>
      <c r="AK243" s="50" t="s">
        <v>2123</v>
      </c>
      <c r="AL243" s="37"/>
      <c r="AM243" s="37" t="s">
        <v>2124</v>
      </c>
      <c r="AN243" s="54" t="s">
        <v>2125</v>
      </c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</row>
    <row r="244" spans="1:54" ht="16.5" customHeight="1">
      <c r="A244" s="33" t="s">
        <v>2126</v>
      </c>
      <c r="B244" s="37">
        <v>210802</v>
      </c>
      <c r="C244" s="33" t="s">
        <v>2127</v>
      </c>
      <c r="D244" s="37" t="s">
        <v>2128</v>
      </c>
      <c r="E244" s="37" t="s">
        <v>228</v>
      </c>
      <c r="F244" s="38"/>
      <c r="G244" s="34" t="s">
        <v>2129</v>
      </c>
      <c r="H244" s="34"/>
      <c r="I244" s="37" t="s">
        <v>2130</v>
      </c>
      <c r="J244" s="36">
        <v>44410</v>
      </c>
      <c r="K244" s="36"/>
      <c r="L244" s="36">
        <v>44442</v>
      </c>
      <c r="M244" s="37" t="s">
        <v>146</v>
      </c>
      <c r="N244" s="37" t="s">
        <v>2131</v>
      </c>
      <c r="O244" s="37" t="s">
        <v>2132</v>
      </c>
      <c r="P244" s="37" t="s">
        <v>711</v>
      </c>
      <c r="Q244" s="37" t="s">
        <v>265</v>
      </c>
      <c r="R244" s="36">
        <v>36575</v>
      </c>
      <c r="S244" s="37" t="s">
        <v>275</v>
      </c>
      <c r="T244" s="36">
        <v>40326</v>
      </c>
      <c r="U244" s="37"/>
      <c r="V244" s="36"/>
      <c r="W244" s="37"/>
      <c r="X244" s="36"/>
      <c r="Y244" s="37"/>
      <c r="Z244" s="37"/>
      <c r="AA244" s="37"/>
      <c r="AB244" s="37"/>
      <c r="AC244" s="39">
        <v>235</v>
      </c>
      <c r="AD244" s="37" t="str">
        <f t="shared" si="14"/>
        <v>19년 7개월</v>
      </c>
      <c r="AE244" s="39">
        <f ca="1">(재직자!$AL$1-J244)/30</f>
        <v>56.8</v>
      </c>
      <c r="AF244" s="37" t="str">
        <f t="shared" ca="1" si="15"/>
        <v>4년 8개월</v>
      </c>
      <c r="AG244" s="39">
        <f t="shared" ca="1" si="16"/>
        <v>291.8</v>
      </c>
      <c r="AH244" s="39" t="str">
        <f t="shared" ca="1" si="17"/>
        <v>24년 3개월</v>
      </c>
      <c r="AI244" s="44" t="s">
        <v>2133</v>
      </c>
      <c r="AJ244" s="37" t="s">
        <v>2134</v>
      </c>
      <c r="AK244" s="50" t="s">
        <v>2135</v>
      </c>
      <c r="AL244" s="37"/>
      <c r="AM244" s="37" t="s">
        <v>2136</v>
      </c>
      <c r="AN244" s="54" t="s">
        <v>2032</v>
      </c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</row>
    <row r="245" spans="1:54" ht="16.5" customHeight="1">
      <c r="A245" s="33" t="s">
        <v>160</v>
      </c>
      <c r="B245" s="33" t="s">
        <v>2137</v>
      </c>
      <c r="C245" s="33" t="s">
        <v>193</v>
      </c>
      <c r="D245" s="34" t="s">
        <v>2138</v>
      </c>
      <c r="E245" s="34" t="s">
        <v>34</v>
      </c>
      <c r="F245" s="34" t="s">
        <v>2139</v>
      </c>
      <c r="G245" s="34" t="s">
        <v>1685</v>
      </c>
      <c r="H245" s="34" t="s">
        <v>1279</v>
      </c>
      <c r="I245" s="35" t="s">
        <v>2140</v>
      </c>
      <c r="J245" s="36">
        <v>42359</v>
      </c>
      <c r="K245" s="36">
        <v>43891</v>
      </c>
      <c r="L245" s="36">
        <v>44469</v>
      </c>
      <c r="M245" s="37" t="s">
        <v>196</v>
      </c>
      <c r="N245" s="37" t="s">
        <v>1132</v>
      </c>
      <c r="O245" s="38" t="s">
        <v>499</v>
      </c>
      <c r="P245" s="38" t="s">
        <v>1134</v>
      </c>
      <c r="Q245" s="37" t="s">
        <v>198</v>
      </c>
      <c r="R245" s="36">
        <v>40046</v>
      </c>
      <c r="S245" s="37" t="s">
        <v>275</v>
      </c>
      <c r="T245" s="36">
        <v>40147</v>
      </c>
      <c r="U245" s="37"/>
      <c r="V245" s="37"/>
      <c r="W245" s="37"/>
      <c r="X245" s="37"/>
      <c r="Y245" s="37" t="s">
        <v>230</v>
      </c>
      <c r="Z245" s="37"/>
      <c r="AA245" s="36"/>
      <c r="AB245" s="37"/>
      <c r="AC245" s="39">
        <v>83.9</v>
      </c>
      <c r="AD245" s="38" t="str">
        <f t="shared" si="14"/>
        <v>6년 11개월</v>
      </c>
      <c r="AE245" s="39">
        <f ca="1">(재직자!$AL$1-J245)/30</f>
        <v>125.16666666666667</v>
      </c>
      <c r="AF245" s="39" t="str">
        <f t="shared" ca="1" si="15"/>
        <v>10년 5개월</v>
      </c>
      <c r="AG245" s="39">
        <f t="shared" ca="1" si="16"/>
        <v>209.06666666666666</v>
      </c>
      <c r="AH245" s="39" t="str">
        <f t="shared" ca="1" si="17"/>
        <v>17년 5개월</v>
      </c>
      <c r="AI245" s="43" t="s">
        <v>2141</v>
      </c>
      <c r="AJ245" s="33" t="s">
        <v>2142</v>
      </c>
      <c r="AK245" s="62" t="s">
        <v>2143</v>
      </c>
      <c r="AL245" s="37"/>
      <c r="AM245" s="37" t="s">
        <v>2144</v>
      </c>
      <c r="AN245" s="54" t="s">
        <v>2145</v>
      </c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</row>
    <row r="246" spans="1:54" ht="16.5" customHeight="1">
      <c r="A246" s="33" t="s">
        <v>377</v>
      </c>
      <c r="B246" s="33" t="s">
        <v>2146</v>
      </c>
      <c r="C246" s="33" t="s">
        <v>924</v>
      </c>
      <c r="D246" s="34" t="s">
        <v>2147</v>
      </c>
      <c r="E246" s="34" t="s">
        <v>51</v>
      </c>
      <c r="F246" s="34" t="s">
        <v>2148</v>
      </c>
      <c r="G246" s="34" t="s">
        <v>1685</v>
      </c>
      <c r="H246" s="34"/>
      <c r="I246" s="35" t="s">
        <v>2149</v>
      </c>
      <c r="J246" s="36">
        <v>43565</v>
      </c>
      <c r="K246" s="36"/>
      <c r="L246" s="36">
        <v>44469</v>
      </c>
      <c r="M246" s="37" t="s">
        <v>146</v>
      </c>
      <c r="N246" s="37" t="s">
        <v>1528</v>
      </c>
      <c r="O246" s="38" t="s">
        <v>2150</v>
      </c>
      <c r="P246" s="38" t="s">
        <v>964</v>
      </c>
      <c r="Q246" s="37" t="s">
        <v>265</v>
      </c>
      <c r="R246" s="36">
        <v>42416</v>
      </c>
      <c r="S246" s="37"/>
      <c r="T246" s="36"/>
      <c r="U246" s="37" t="s">
        <v>1882</v>
      </c>
      <c r="V246" s="36">
        <v>43438</v>
      </c>
      <c r="W246" s="37"/>
      <c r="X246" s="36"/>
      <c r="Y246" s="37"/>
      <c r="Z246" s="37"/>
      <c r="AA246" s="36"/>
      <c r="AB246" s="37"/>
      <c r="AC246" s="39"/>
      <c r="AD246" s="38" t="str">
        <f t="shared" si="14"/>
        <v>0년 0개월</v>
      </c>
      <c r="AE246" s="39">
        <f ca="1">(재직자!$AL$1-J246)/30</f>
        <v>84.966666666666669</v>
      </c>
      <c r="AF246" s="39" t="str">
        <f t="shared" ca="1" si="15"/>
        <v>7년 0개월</v>
      </c>
      <c r="AG246" s="39">
        <f t="shared" ca="1" si="16"/>
        <v>84.966666666666669</v>
      </c>
      <c r="AH246" s="39" t="str">
        <f t="shared" ca="1" si="17"/>
        <v>7년 0개월</v>
      </c>
      <c r="AI246" s="43" t="s">
        <v>2151</v>
      </c>
      <c r="AJ246" s="33" t="s">
        <v>2152</v>
      </c>
      <c r="AK246" s="62" t="s">
        <v>2153</v>
      </c>
      <c r="AL246" s="67"/>
      <c r="AM246" s="37" t="s">
        <v>2154</v>
      </c>
      <c r="AN246" s="54" t="s">
        <v>1641</v>
      </c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</row>
    <row r="247" spans="1:54" ht="16.5" customHeight="1">
      <c r="A247" s="33" t="s">
        <v>2155</v>
      </c>
      <c r="B247" s="37">
        <v>210601</v>
      </c>
      <c r="C247" s="33" t="s">
        <v>226</v>
      </c>
      <c r="D247" s="37" t="s">
        <v>2156</v>
      </c>
      <c r="E247" s="37" t="s">
        <v>34</v>
      </c>
      <c r="F247" s="38"/>
      <c r="G247" s="34" t="s">
        <v>2129</v>
      </c>
      <c r="H247" s="34"/>
      <c r="I247" s="37" t="s">
        <v>2157</v>
      </c>
      <c r="J247" s="36">
        <v>44348</v>
      </c>
      <c r="K247" s="36"/>
      <c r="L247" s="36">
        <v>44469</v>
      </c>
      <c r="M247" s="37" t="s">
        <v>146</v>
      </c>
      <c r="N247" s="37" t="s">
        <v>1528</v>
      </c>
      <c r="O247" s="37" t="s">
        <v>2158</v>
      </c>
      <c r="P247" s="37" t="s">
        <v>964</v>
      </c>
      <c r="Q247" s="37" t="s">
        <v>265</v>
      </c>
      <c r="R247" s="36">
        <v>40219</v>
      </c>
      <c r="S247" s="37"/>
      <c r="T247" s="36"/>
      <c r="U247" s="37"/>
      <c r="V247" s="36"/>
      <c r="W247" s="37"/>
      <c r="X247" s="36"/>
      <c r="Y247" s="37"/>
      <c r="Z247" s="37"/>
      <c r="AA247" s="37"/>
      <c r="AB247" s="37"/>
      <c r="AC247" s="39">
        <v>142</v>
      </c>
      <c r="AD247" s="37" t="str">
        <f t="shared" si="14"/>
        <v>11년 10개월</v>
      </c>
      <c r="AE247" s="39">
        <f ca="1">(재직자!$AL$1-J247)/30</f>
        <v>58.866666666666667</v>
      </c>
      <c r="AF247" s="37" t="str">
        <f t="shared" ca="1" si="15"/>
        <v>4년 10개월</v>
      </c>
      <c r="AG247" s="39">
        <f t="shared" ca="1" si="16"/>
        <v>200.86666666666667</v>
      </c>
      <c r="AH247" s="39" t="str">
        <f t="shared" ca="1" si="17"/>
        <v>16년 8개월</v>
      </c>
      <c r="AI247" s="44" t="s">
        <v>2159</v>
      </c>
      <c r="AJ247" s="37" t="s">
        <v>2160</v>
      </c>
      <c r="AK247" s="50" t="s">
        <v>2161</v>
      </c>
      <c r="AL247" s="37"/>
      <c r="AM247" s="37" t="s">
        <v>2162</v>
      </c>
      <c r="AN247" s="54" t="s">
        <v>2163</v>
      </c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</row>
    <row r="248" spans="1:54" ht="16.5" customHeight="1">
      <c r="A248" s="33" t="s">
        <v>2164</v>
      </c>
      <c r="B248" s="37">
        <v>210308</v>
      </c>
      <c r="C248" s="33" t="s">
        <v>226</v>
      </c>
      <c r="D248" s="37" t="s">
        <v>2165</v>
      </c>
      <c r="E248" s="37" t="s">
        <v>472</v>
      </c>
      <c r="F248" s="38"/>
      <c r="G248" s="34" t="s">
        <v>120</v>
      </c>
      <c r="H248" s="34"/>
      <c r="I248" s="37" t="s">
        <v>2166</v>
      </c>
      <c r="J248" s="36">
        <v>44277</v>
      </c>
      <c r="K248" s="36"/>
      <c r="L248" s="36">
        <v>44486</v>
      </c>
      <c r="M248" s="37" t="s">
        <v>153</v>
      </c>
      <c r="N248" s="37" t="s">
        <v>666</v>
      </c>
      <c r="O248" s="37" t="s">
        <v>2167</v>
      </c>
      <c r="P248" s="37" t="s">
        <v>763</v>
      </c>
      <c r="Q248" s="37" t="s">
        <v>209</v>
      </c>
      <c r="R248" s="36">
        <v>34753</v>
      </c>
      <c r="S248" s="37"/>
      <c r="T248" s="36"/>
      <c r="U248" s="37"/>
      <c r="V248" s="36"/>
      <c r="W248" s="37"/>
      <c r="X248" s="36"/>
      <c r="Y248" s="37"/>
      <c r="Z248" s="37"/>
      <c r="AA248" s="37"/>
      <c r="AB248" s="37"/>
      <c r="AC248" s="39">
        <v>297</v>
      </c>
      <c r="AD248" s="37" t="str">
        <f t="shared" si="14"/>
        <v>24년 9개월</v>
      </c>
      <c r="AE248" s="39">
        <f ca="1">(재직자!$AL$1-J248)/30</f>
        <v>61.233333333333334</v>
      </c>
      <c r="AF248" s="37" t="str">
        <f t="shared" ca="1" si="15"/>
        <v>5년 1개월</v>
      </c>
      <c r="AG248" s="39">
        <f t="shared" ca="1" si="16"/>
        <v>358.23333333333335</v>
      </c>
      <c r="AH248" s="39" t="str">
        <f t="shared" ca="1" si="17"/>
        <v>29년 10개월</v>
      </c>
      <c r="AI248" s="44" t="s">
        <v>2168</v>
      </c>
      <c r="AJ248" s="37" t="s">
        <v>2169</v>
      </c>
      <c r="AK248" s="50" t="s">
        <v>2170</v>
      </c>
      <c r="AL248" s="37"/>
      <c r="AM248" s="37" t="s">
        <v>2171</v>
      </c>
      <c r="AN248" s="54" t="s">
        <v>2172</v>
      </c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</row>
    <row r="249" spans="1:54" ht="16.5" customHeight="1">
      <c r="A249" s="33" t="s">
        <v>1989</v>
      </c>
      <c r="B249" s="37">
        <v>210408</v>
      </c>
      <c r="C249" s="33" t="s">
        <v>924</v>
      </c>
      <c r="D249" s="37" t="s">
        <v>2173</v>
      </c>
      <c r="E249" s="37" t="s">
        <v>88</v>
      </c>
      <c r="F249" s="38"/>
      <c r="G249" s="34" t="s">
        <v>52</v>
      </c>
      <c r="H249" s="34"/>
      <c r="I249" s="37" t="s">
        <v>2174</v>
      </c>
      <c r="J249" s="36">
        <v>44309</v>
      </c>
      <c r="K249" s="36"/>
      <c r="L249" s="36">
        <v>44489</v>
      </c>
      <c r="M249" s="37" t="s">
        <v>146</v>
      </c>
      <c r="N249" s="37" t="s">
        <v>2175</v>
      </c>
      <c r="O249" s="37" t="s">
        <v>2176</v>
      </c>
      <c r="P249" s="37" t="s">
        <v>763</v>
      </c>
      <c r="Q249" s="37" t="s">
        <v>265</v>
      </c>
      <c r="R249" s="36">
        <v>38405</v>
      </c>
      <c r="S249" s="37"/>
      <c r="T249" s="36"/>
      <c r="U249" s="37"/>
      <c r="V249" s="36"/>
      <c r="W249" s="37"/>
      <c r="X249" s="36"/>
      <c r="Y249" s="37"/>
      <c r="Z249" s="37"/>
      <c r="AA249" s="37"/>
      <c r="AB249" s="37"/>
      <c r="AC249" s="39">
        <v>80</v>
      </c>
      <c r="AD249" s="37" t="str">
        <f t="shared" si="14"/>
        <v>6년 8개월</v>
      </c>
      <c r="AE249" s="39">
        <f ca="1">(재직자!$AL$1-J249)/30</f>
        <v>60.166666666666664</v>
      </c>
      <c r="AF249" s="37" t="str">
        <f t="shared" ca="1" si="15"/>
        <v>5년 0개월</v>
      </c>
      <c r="AG249" s="39">
        <f t="shared" ca="1" si="16"/>
        <v>140.16666666666666</v>
      </c>
      <c r="AH249" s="39" t="str">
        <f t="shared" ca="1" si="17"/>
        <v>11년 8개월</v>
      </c>
      <c r="AI249" s="44" t="s">
        <v>2177</v>
      </c>
      <c r="AJ249" s="37" t="s">
        <v>2178</v>
      </c>
      <c r="AK249" s="50" t="s">
        <v>2179</v>
      </c>
      <c r="AL249" s="37"/>
      <c r="AM249" s="37" t="s">
        <v>2180</v>
      </c>
      <c r="AN249" s="54" t="s">
        <v>2181</v>
      </c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</row>
    <row r="250" spans="1:54" ht="16.5" customHeight="1">
      <c r="A250" s="33" t="s">
        <v>899</v>
      </c>
      <c r="B250" s="37">
        <v>200203</v>
      </c>
      <c r="C250" s="33" t="s">
        <v>924</v>
      </c>
      <c r="D250" s="37" t="s">
        <v>2182</v>
      </c>
      <c r="E250" s="37" t="s">
        <v>34</v>
      </c>
      <c r="F250" s="38" t="s">
        <v>2183</v>
      </c>
      <c r="G250" s="34" t="s">
        <v>52</v>
      </c>
      <c r="H250" s="34"/>
      <c r="I250" s="37" t="s">
        <v>2184</v>
      </c>
      <c r="J250" s="36">
        <v>43864</v>
      </c>
      <c r="K250" s="36"/>
      <c r="L250" s="36">
        <v>44514</v>
      </c>
      <c r="M250" s="37" t="s">
        <v>153</v>
      </c>
      <c r="N250" s="37" t="s">
        <v>355</v>
      </c>
      <c r="O250" s="37" t="s">
        <v>1133</v>
      </c>
      <c r="P250" s="37" t="s">
        <v>711</v>
      </c>
      <c r="Q250" s="37" t="s">
        <v>209</v>
      </c>
      <c r="R250" s="36">
        <v>43152</v>
      </c>
      <c r="S250" s="37" t="s">
        <v>2185</v>
      </c>
      <c r="T250" s="36">
        <v>36725</v>
      </c>
      <c r="U250" s="37" t="s">
        <v>1882</v>
      </c>
      <c r="V250" s="36">
        <v>39246</v>
      </c>
      <c r="W250" s="37"/>
      <c r="X250" s="37"/>
      <c r="Y250" s="37"/>
      <c r="Z250" s="37"/>
      <c r="AA250" s="37"/>
      <c r="AB250" s="37"/>
      <c r="AC250" s="39">
        <v>125</v>
      </c>
      <c r="AD250" s="37" t="str">
        <f t="shared" si="14"/>
        <v>10년 5개월</v>
      </c>
      <c r="AE250" s="39">
        <f ca="1">(재직자!$AL$1-J250)/30</f>
        <v>75</v>
      </c>
      <c r="AF250" s="37" t="str">
        <f t="shared" ca="1" si="15"/>
        <v>6년 3개월</v>
      </c>
      <c r="AG250" s="39">
        <f t="shared" ca="1" si="16"/>
        <v>200</v>
      </c>
      <c r="AH250" s="39" t="str">
        <f t="shared" ca="1" si="17"/>
        <v>16년 8개월</v>
      </c>
      <c r="AI250" s="44" t="s">
        <v>2186</v>
      </c>
      <c r="AJ250" s="37" t="s">
        <v>2187</v>
      </c>
      <c r="AK250" s="50" t="s">
        <v>1599</v>
      </c>
      <c r="AL250" s="37"/>
      <c r="AM250" s="37" t="s">
        <v>2188</v>
      </c>
      <c r="AN250" s="54" t="s">
        <v>2189</v>
      </c>
      <c r="AO250" s="32"/>
      <c r="AP250" s="32" t="s">
        <v>2190</v>
      </c>
      <c r="AQ250" s="32" t="s">
        <v>2191</v>
      </c>
      <c r="AR250" s="32" t="s">
        <v>2191</v>
      </c>
      <c r="AS250" s="32" t="s">
        <v>2191</v>
      </c>
      <c r="AT250" s="32"/>
      <c r="AU250" s="32"/>
      <c r="AV250" s="32"/>
      <c r="AW250" s="32"/>
      <c r="AX250" s="32"/>
      <c r="AY250" s="32"/>
      <c r="AZ250" s="32"/>
      <c r="BA250" s="32"/>
      <c r="BB250" s="32"/>
    </row>
    <row r="251" spans="1:54" ht="16.5" customHeight="1">
      <c r="A251" s="33" t="s">
        <v>2192</v>
      </c>
      <c r="B251" s="37">
        <v>210603</v>
      </c>
      <c r="C251" s="33" t="s">
        <v>2051</v>
      </c>
      <c r="D251" s="37" t="s">
        <v>2193</v>
      </c>
      <c r="E251" s="37" t="s">
        <v>228</v>
      </c>
      <c r="F251" s="38"/>
      <c r="G251" s="34" t="s">
        <v>2129</v>
      </c>
      <c r="H251" s="34"/>
      <c r="I251" s="37" t="s">
        <v>2194</v>
      </c>
      <c r="J251" s="36">
        <v>44371</v>
      </c>
      <c r="K251" s="36"/>
      <c r="L251" s="36">
        <v>44515</v>
      </c>
      <c r="M251" s="37" t="s">
        <v>153</v>
      </c>
      <c r="N251" s="37" t="s">
        <v>982</v>
      </c>
      <c r="O251" s="37" t="s">
        <v>2195</v>
      </c>
      <c r="P251" s="37" t="s">
        <v>711</v>
      </c>
      <c r="Q251" s="37" t="s">
        <v>209</v>
      </c>
      <c r="R251" s="36">
        <v>38218</v>
      </c>
      <c r="S251" s="37" t="s">
        <v>275</v>
      </c>
      <c r="T251" s="36">
        <v>37963</v>
      </c>
      <c r="U251" s="37" t="s">
        <v>764</v>
      </c>
      <c r="V251" s="36">
        <v>39071</v>
      </c>
      <c r="W251" s="37"/>
      <c r="X251" s="36"/>
      <c r="Y251" s="37"/>
      <c r="Z251" s="37"/>
      <c r="AA251" s="37"/>
      <c r="AB251" s="37"/>
      <c r="AC251" s="39">
        <v>224</v>
      </c>
      <c r="AD251" s="37" t="str">
        <f t="shared" si="14"/>
        <v>18년 8개월</v>
      </c>
      <c r="AE251" s="39">
        <f ca="1">(재직자!$AL$1-J251)/30</f>
        <v>58.1</v>
      </c>
      <c r="AF251" s="37" t="str">
        <f t="shared" ca="1" si="15"/>
        <v>4년 10개월</v>
      </c>
      <c r="AG251" s="39">
        <f t="shared" ca="1" si="16"/>
        <v>282.10000000000002</v>
      </c>
      <c r="AH251" s="39" t="str">
        <f t="shared" ca="1" si="17"/>
        <v>23년 6개월</v>
      </c>
      <c r="AI251" s="44" t="s">
        <v>2196</v>
      </c>
      <c r="AJ251" s="37" t="s">
        <v>2197</v>
      </c>
      <c r="AK251" s="50" t="s">
        <v>2198</v>
      </c>
      <c r="AL251" s="37"/>
      <c r="AM251" s="37" t="s">
        <v>2199</v>
      </c>
      <c r="AN251" s="54" t="s">
        <v>2200</v>
      </c>
      <c r="AO251" s="32"/>
      <c r="AP251" s="32" t="s">
        <v>2190</v>
      </c>
      <c r="AQ251" s="78"/>
      <c r="AR251" s="78"/>
      <c r="AS251" s="78"/>
      <c r="AT251" s="79"/>
      <c r="AU251" s="79"/>
      <c r="AV251" s="79"/>
      <c r="AW251" s="79"/>
      <c r="AX251" s="79"/>
      <c r="AY251" s="79"/>
      <c r="AZ251" s="79"/>
      <c r="BA251" s="79"/>
      <c r="BB251" s="79"/>
    </row>
    <row r="252" spans="1:54" ht="16.5" customHeight="1">
      <c r="A252" s="33" t="s">
        <v>2201</v>
      </c>
      <c r="B252" s="37">
        <v>211103</v>
      </c>
      <c r="C252" s="33" t="s">
        <v>924</v>
      </c>
      <c r="D252" s="37" t="s">
        <v>2202</v>
      </c>
      <c r="E252" s="37" t="s">
        <v>228</v>
      </c>
      <c r="F252" s="38"/>
      <c r="G252" s="34" t="s">
        <v>2129</v>
      </c>
      <c r="H252" s="34"/>
      <c r="I252" s="37" t="s">
        <v>2203</v>
      </c>
      <c r="J252" s="36">
        <v>44519</v>
      </c>
      <c r="K252" s="36"/>
      <c r="L252" s="36">
        <v>44524</v>
      </c>
      <c r="M252" s="37" t="s">
        <v>146</v>
      </c>
      <c r="N252" s="37" t="s">
        <v>498</v>
      </c>
      <c r="O252" s="37" t="s">
        <v>499</v>
      </c>
      <c r="P252" s="37" t="s">
        <v>711</v>
      </c>
      <c r="Q252" s="37" t="s">
        <v>265</v>
      </c>
      <c r="R252" s="36">
        <v>35464</v>
      </c>
      <c r="S252" s="37" t="s">
        <v>275</v>
      </c>
      <c r="T252" s="36">
        <v>39797</v>
      </c>
      <c r="U252" s="37" t="s">
        <v>405</v>
      </c>
      <c r="V252" s="36">
        <v>35233</v>
      </c>
      <c r="W252" s="37" t="s">
        <v>569</v>
      </c>
      <c r="X252" s="36">
        <v>33569</v>
      </c>
      <c r="Y252" s="37"/>
      <c r="Z252" s="37"/>
      <c r="AA252" s="37"/>
      <c r="AB252" s="37"/>
      <c r="AC252" s="39">
        <v>141</v>
      </c>
      <c r="AD252" s="37" t="str">
        <f t="shared" si="14"/>
        <v>11년 9개월</v>
      </c>
      <c r="AE252" s="39">
        <f ca="1">(재직자!$AL$1-J252)/30</f>
        <v>53.166666666666664</v>
      </c>
      <c r="AF252" s="37" t="str">
        <f t="shared" ca="1" si="15"/>
        <v>4년 5개월</v>
      </c>
      <c r="AG252" s="39">
        <f t="shared" ca="1" si="16"/>
        <v>194.16666666666666</v>
      </c>
      <c r="AH252" s="39" t="str">
        <f t="shared" ca="1" si="17"/>
        <v>16년 2개월</v>
      </c>
      <c r="AI252" s="44" t="s">
        <v>2204</v>
      </c>
      <c r="AJ252" s="37" t="s">
        <v>2205</v>
      </c>
      <c r="AK252" s="50" t="s">
        <v>2206</v>
      </c>
      <c r="AL252" s="37"/>
      <c r="AM252" s="37" t="s">
        <v>2207</v>
      </c>
      <c r="AN252" s="54" t="s">
        <v>2208</v>
      </c>
      <c r="AO252" s="32"/>
      <c r="AP252" s="32" t="s">
        <v>2190</v>
      </c>
      <c r="AQ252" s="78"/>
      <c r="AR252" s="78"/>
      <c r="AS252" s="78"/>
      <c r="AT252" s="79"/>
      <c r="AU252" s="79"/>
      <c r="AV252" s="79"/>
      <c r="AW252" s="79"/>
      <c r="AX252" s="79"/>
      <c r="AY252" s="79"/>
      <c r="AZ252" s="79"/>
      <c r="BA252" s="79"/>
      <c r="BB252" s="79"/>
    </row>
    <row r="253" spans="1:54" ht="16.5" customHeight="1">
      <c r="A253" s="33" t="s">
        <v>1387</v>
      </c>
      <c r="B253" s="33" t="s">
        <v>2209</v>
      </c>
      <c r="C253" s="33" t="s">
        <v>924</v>
      </c>
      <c r="D253" s="34" t="s">
        <v>2210</v>
      </c>
      <c r="E253" s="34" t="s">
        <v>44</v>
      </c>
      <c r="F253" s="34"/>
      <c r="G253" s="34" t="s">
        <v>52</v>
      </c>
      <c r="H253" s="34"/>
      <c r="I253" s="35" t="s">
        <v>2211</v>
      </c>
      <c r="J253" s="36">
        <v>43556</v>
      </c>
      <c r="K253" s="36">
        <v>44228</v>
      </c>
      <c r="L253" s="36">
        <v>44530</v>
      </c>
      <c r="M253" s="37" t="s">
        <v>153</v>
      </c>
      <c r="N253" s="37" t="s">
        <v>2212</v>
      </c>
      <c r="O253" s="38" t="s">
        <v>457</v>
      </c>
      <c r="P253" s="38" t="s">
        <v>1414</v>
      </c>
      <c r="Q253" s="37" t="s">
        <v>209</v>
      </c>
      <c r="R253" s="36">
        <v>42593</v>
      </c>
      <c r="S253" s="37"/>
      <c r="T253" s="36"/>
      <c r="U253" s="37"/>
      <c r="V253" s="36"/>
      <c r="W253" s="37"/>
      <c r="X253" s="36"/>
      <c r="Y253" s="37"/>
      <c r="Z253" s="37"/>
      <c r="AA253" s="36"/>
      <c r="AB253" s="37"/>
      <c r="AC253" s="39">
        <v>34</v>
      </c>
      <c r="AD253" s="38" t="str">
        <f t="shared" si="14"/>
        <v>2년 10개월</v>
      </c>
      <c r="AE253" s="39">
        <f ca="1">(재직자!$AL$1-J253)/30</f>
        <v>85.266666666666666</v>
      </c>
      <c r="AF253" s="39" t="str">
        <f t="shared" ca="1" si="15"/>
        <v>7년 1개월</v>
      </c>
      <c r="AG253" s="39">
        <f t="shared" ca="1" si="16"/>
        <v>119.26666666666667</v>
      </c>
      <c r="AH253" s="39" t="str">
        <f t="shared" ca="1" si="17"/>
        <v>9년 11개월</v>
      </c>
      <c r="AI253" s="43" t="s">
        <v>2213</v>
      </c>
      <c r="AJ253" s="33" t="s">
        <v>2214</v>
      </c>
      <c r="AK253" s="62" t="s">
        <v>2215</v>
      </c>
      <c r="AL253" s="67"/>
      <c r="AM253" s="37" t="s">
        <v>2216</v>
      </c>
      <c r="AN253" s="54" t="s">
        <v>2217</v>
      </c>
      <c r="AO253" s="32"/>
      <c r="AP253" s="32" t="s">
        <v>2190</v>
      </c>
      <c r="AQ253" s="78"/>
      <c r="AR253" s="78"/>
      <c r="AS253" s="78"/>
      <c r="AT253" s="79"/>
      <c r="AU253" s="79"/>
      <c r="AV253" s="79"/>
      <c r="AW253" s="79"/>
      <c r="AX253" s="79"/>
      <c r="AY253" s="79"/>
      <c r="AZ253" s="79"/>
      <c r="BA253" s="79"/>
      <c r="BB253" s="79"/>
    </row>
    <row r="254" spans="1:54" ht="16.5" customHeight="1">
      <c r="A254" s="33" t="s">
        <v>2218</v>
      </c>
      <c r="B254" s="37">
        <v>210505</v>
      </c>
      <c r="C254" s="33" t="s">
        <v>193</v>
      </c>
      <c r="D254" s="37" t="s">
        <v>2219</v>
      </c>
      <c r="E254" s="37" t="s">
        <v>228</v>
      </c>
      <c r="F254" s="38"/>
      <c r="G254" s="34" t="s">
        <v>52</v>
      </c>
      <c r="H254" s="34"/>
      <c r="I254" s="37" t="s">
        <v>2220</v>
      </c>
      <c r="J254" s="36">
        <v>44333</v>
      </c>
      <c r="K254" s="36"/>
      <c r="L254" s="36">
        <v>44530</v>
      </c>
      <c r="M254" s="37" t="s">
        <v>146</v>
      </c>
      <c r="N254" s="37" t="s">
        <v>2175</v>
      </c>
      <c r="O254" s="37" t="s">
        <v>700</v>
      </c>
      <c r="P254" s="37" t="s">
        <v>763</v>
      </c>
      <c r="Q254" s="37" t="s">
        <v>265</v>
      </c>
      <c r="R254" s="36">
        <v>34725</v>
      </c>
      <c r="S254" s="37"/>
      <c r="T254" s="36"/>
      <c r="U254" s="37"/>
      <c r="V254" s="36"/>
      <c r="W254" s="37"/>
      <c r="X254" s="36"/>
      <c r="Y254" s="37"/>
      <c r="Z254" s="37"/>
      <c r="AA254" s="37"/>
      <c r="AB254" s="37"/>
      <c r="AC254" s="39">
        <v>148</v>
      </c>
      <c r="AD254" s="37" t="str">
        <f t="shared" si="14"/>
        <v>12년 4개월</v>
      </c>
      <c r="AE254" s="39">
        <f ca="1">(재직자!$AL$1-J254)/30</f>
        <v>59.366666666666667</v>
      </c>
      <c r="AF254" s="37" t="str">
        <f t="shared" ca="1" si="15"/>
        <v>4년 11개월</v>
      </c>
      <c r="AG254" s="39">
        <f t="shared" ca="1" si="16"/>
        <v>207.36666666666667</v>
      </c>
      <c r="AH254" s="39" t="str">
        <f t="shared" ca="1" si="17"/>
        <v>17년 3개월</v>
      </c>
      <c r="AI254" s="44" t="s">
        <v>2221</v>
      </c>
      <c r="AJ254" s="37" t="s">
        <v>2222</v>
      </c>
      <c r="AK254" s="50" t="s">
        <v>2223</v>
      </c>
      <c r="AL254" s="37"/>
      <c r="AM254" s="37" t="s">
        <v>2224</v>
      </c>
      <c r="AN254" s="54" t="s">
        <v>2225</v>
      </c>
      <c r="AO254" s="32"/>
      <c r="AP254" s="32" t="s">
        <v>2190</v>
      </c>
      <c r="AQ254" s="78"/>
      <c r="AR254" s="78"/>
      <c r="AS254" s="78"/>
      <c r="AT254" s="79"/>
      <c r="AU254" s="79"/>
      <c r="AV254" s="79"/>
      <c r="AW254" s="79"/>
      <c r="AX254" s="79"/>
      <c r="AY254" s="79"/>
      <c r="AZ254" s="79"/>
      <c r="BA254" s="79"/>
      <c r="BB254" s="79"/>
    </row>
    <row r="255" spans="1:54" ht="15" customHeight="1">
      <c r="A255" s="33" t="s">
        <v>49</v>
      </c>
      <c r="B255" s="33" t="s">
        <v>2226</v>
      </c>
      <c r="C255" s="33" t="s">
        <v>193</v>
      </c>
      <c r="D255" s="34" t="s">
        <v>2227</v>
      </c>
      <c r="E255" s="34" t="s">
        <v>228</v>
      </c>
      <c r="F255" s="38" t="s">
        <v>2228</v>
      </c>
      <c r="G255" s="34" t="s">
        <v>1685</v>
      </c>
      <c r="H255" s="34" t="s">
        <v>1279</v>
      </c>
      <c r="I255" s="35" t="s">
        <v>2229</v>
      </c>
      <c r="J255" s="36">
        <v>38687</v>
      </c>
      <c r="K255" s="36">
        <v>43313</v>
      </c>
      <c r="L255" s="36">
        <v>44540</v>
      </c>
      <c r="M255" s="37" t="s">
        <v>153</v>
      </c>
      <c r="N255" s="37" t="s">
        <v>2230</v>
      </c>
      <c r="O255" s="38" t="s">
        <v>491</v>
      </c>
      <c r="P255" s="38"/>
      <c r="Q255" s="37" t="s">
        <v>209</v>
      </c>
      <c r="R255" s="36">
        <v>37676</v>
      </c>
      <c r="S255" s="37" t="s">
        <v>275</v>
      </c>
      <c r="T255" s="36">
        <v>37487</v>
      </c>
      <c r="U255" s="37"/>
      <c r="V255" s="37"/>
      <c r="W255" s="37"/>
      <c r="X255" s="37"/>
      <c r="Y255" s="37" t="s">
        <v>199</v>
      </c>
      <c r="Z255" s="37"/>
      <c r="AA255" s="36">
        <v>40645</v>
      </c>
      <c r="AB255" s="37" t="s">
        <v>199</v>
      </c>
      <c r="AC255" s="39">
        <v>23</v>
      </c>
      <c r="AD255" s="38" t="str">
        <f t="shared" si="14"/>
        <v>1년 11개월</v>
      </c>
      <c r="AE255" s="39">
        <f ca="1">(재직자!$AL$1-J255)/30</f>
        <v>247.56666666666666</v>
      </c>
      <c r="AF255" s="39" t="str">
        <f t="shared" ca="1" si="15"/>
        <v>20년 7개월</v>
      </c>
      <c r="AG255" s="39">
        <f t="shared" ca="1" si="16"/>
        <v>270.56666666666666</v>
      </c>
      <c r="AH255" s="39" t="str">
        <f t="shared" ca="1" si="17"/>
        <v>22년 6개월</v>
      </c>
      <c r="AI255" s="66" t="s">
        <v>2231</v>
      </c>
      <c r="AJ255" s="33" t="s">
        <v>2232</v>
      </c>
      <c r="AK255" s="50" t="s">
        <v>2233</v>
      </c>
      <c r="AL255" s="37">
        <v>2614</v>
      </c>
      <c r="AM255" s="37" t="s">
        <v>2234</v>
      </c>
      <c r="AN255" s="54">
        <v>10.210000000000001</v>
      </c>
      <c r="AO255" s="32"/>
      <c r="AP255" s="32" t="s">
        <v>2190</v>
      </c>
      <c r="AQ255" s="32" t="s">
        <v>2191</v>
      </c>
      <c r="AR255" s="32" t="s">
        <v>2191</v>
      </c>
      <c r="AS255" s="32" t="s">
        <v>2191</v>
      </c>
      <c r="AT255" s="32"/>
      <c r="AU255" s="32"/>
      <c r="AV255" s="32"/>
      <c r="AW255" s="32"/>
      <c r="AX255" s="32"/>
      <c r="AY255" s="32"/>
      <c r="AZ255" s="32"/>
      <c r="BA255" s="32"/>
      <c r="BB255" s="32"/>
    </row>
    <row r="256" spans="1:54" ht="16.5" customHeight="1">
      <c r="A256" s="33" t="s">
        <v>2235</v>
      </c>
      <c r="B256" s="37">
        <v>211001</v>
      </c>
      <c r="C256" s="33" t="s">
        <v>226</v>
      </c>
      <c r="D256" s="37" t="s">
        <v>1553</v>
      </c>
      <c r="E256" s="37" t="s">
        <v>88</v>
      </c>
      <c r="F256" s="38"/>
      <c r="G256" s="34" t="s">
        <v>120</v>
      </c>
      <c r="H256" s="34"/>
      <c r="I256" s="37" t="s">
        <v>1555</v>
      </c>
      <c r="J256" s="36">
        <v>44487</v>
      </c>
      <c r="K256" s="36"/>
      <c r="L256" s="36">
        <v>44545</v>
      </c>
      <c r="M256" s="37" t="s">
        <v>153</v>
      </c>
      <c r="N256" s="37" t="s">
        <v>1132</v>
      </c>
      <c r="O256" s="37" t="s">
        <v>457</v>
      </c>
      <c r="P256" s="37" t="s">
        <v>711</v>
      </c>
      <c r="Q256" s="37" t="s">
        <v>209</v>
      </c>
      <c r="R256" s="36">
        <v>40939</v>
      </c>
      <c r="S256" s="37"/>
      <c r="T256" s="36"/>
      <c r="U256" s="37"/>
      <c r="V256" s="36"/>
      <c r="W256" s="37"/>
      <c r="X256" s="36"/>
      <c r="Y256" s="37"/>
      <c r="Z256" s="37"/>
      <c r="AA256" s="37"/>
      <c r="AB256" s="37"/>
      <c r="AC256" s="39">
        <v>78</v>
      </c>
      <c r="AD256" s="37" t="str">
        <f t="shared" si="14"/>
        <v>6년 6개월</v>
      </c>
      <c r="AE256" s="39">
        <f ca="1">(재직자!$AL$1-J256)/30</f>
        <v>54.233333333333334</v>
      </c>
      <c r="AF256" s="37" t="str">
        <f t="shared" ca="1" si="15"/>
        <v>4년 6개월</v>
      </c>
      <c r="AG256" s="39">
        <f t="shared" ca="1" si="16"/>
        <v>132.23333333333335</v>
      </c>
      <c r="AH256" s="39" t="str">
        <f t="shared" ca="1" si="17"/>
        <v>11년 0개월</v>
      </c>
      <c r="AI256" s="44" t="s">
        <v>2236</v>
      </c>
      <c r="AJ256" s="37" t="s">
        <v>1557</v>
      </c>
      <c r="AK256" s="50" t="s">
        <v>1558</v>
      </c>
      <c r="AL256" s="37"/>
      <c r="AM256" s="37" t="s">
        <v>2237</v>
      </c>
      <c r="AN256" s="54" t="s">
        <v>1491</v>
      </c>
      <c r="AO256" s="32"/>
      <c r="AP256" s="32"/>
      <c r="AQ256" s="78"/>
      <c r="AR256" s="78"/>
      <c r="AS256" s="78"/>
      <c r="AT256" s="79"/>
      <c r="AU256" s="79"/>
      <c r="AV256" s="79"/>
      <c r="AW256" s="79"/>
      <c r="AX256" s="79"/>
      <c r="AY256" s="79"/>
      <c r="AZ256" s="79"/>
      <c r="BA256" s="79"/>
      <c r="BB256" s="79"/>
    </row>
    <row r="257" spans="1:54" ht="16.5" customHeight="1">
      <c r="A257" s="33" t="s">
        <v>2238</v>
      </c>
      <c r="B257" s="37">
        <v>210902</v>
      </c>
      <c r="C257" s="33" t="s">
        <v>924</v>
      </c>
      <c r="D257" s="37" t="s">
        <v>2239</v>
      </c>
      <c r="E257" s="37" t="s">
        <v>51</v>
      </c>
      <c r="F257" s="38"/>
      <c r="G257" s="34" t="s">
        <v>52</v>
      </c>
      <c r="H257" s="34"/>
      <c r="I257" s="37" t="s">
        <v>2240</v>
      </c>
      <c r="J257" s="36">
        <v>44445</v>
      </c>
      <c r="K257" s="36"/>
      <c r="L257" s="36">
        <v>44551</v>
      </c>
      <c r="M257" s="37" t="s">
        <v>146</v>
      </c>
      <c r="N257" s="37" t="s">
        <v>2241</v>
      </c>
      <c r="O257" s="37" t="s">
        <v>2242</v>
      </c>
      <c r="P257" s="37" t="s">
        <v>964</v>
      </c>
      <c r="Q257" s="37" t="s">
        <v>265</v>
      </c>
      <c r="R257" s="36">
        <v>43515</v>
      </c>
      <c r="S257" s="37"/>
      <c r="T257" s="36"/>
      <c r="U257" s="37" t="s">
        <v>2243</v>
      </c>
      <c r="V257" s="36">
        <v>43964</v>
      </c>
      <c r="W257" s="37"/>
      <c r="X257" s="36"/>
      <c r="Y257" s="37"/>
      <c r="Z257" s="37"/>
      <c r="AA257" s="37"/>
      <c r="AB257" s="37"/>
      <c r="AC257" s="39">
        <v>22</v>
      </c>
      <c r="AD257" s="37" t="str">
        <f t="shared" si="14"/>
        <v>1년 10개월</v>
      </c>
      <c r="AE257" s="39">
        <f ca="1">(재직자!$AL$1-J257)/30</f>
        <v>55.633333333333333</v>
      </c>
      <c r="AF257" s="37" t="str">
        <f t="shared" ca="1" si="15"/>
        <v>4년 7개월</v>
      </c>
      <c r="AG257" s="39">
        <f t="shared" ca="1" si="16"/>
        <v>77.633333333333326</v>
      </c>
      <c r="AH257" s="39" t="str">
        <f t="shared" ca="1" si="17"/>
        <v>6년 5개월</v>
      </c>
      <c r="AI257" s="44" t="s">
        <v>2244</v>
      </c>
      <c r="AJ257" s="37" t="s">
        <v>2245</v>
      </c>
      <c r="AK257" s="50" t="s">
        <v>2246</v>
      </c>
      <c r="AL257" s="37"/>
      <c r="AM257" s="37" t="s">
        <v>2247</v>
      </c>
      <c r="AN257" s="54" t="s">
        <v>2248</v>
      </c>
      <c r="AO257" s="32"/>
      <c r="AP257" s="32" t="s">
        <v>2190</v>
      </c>
      <c r="AQ257" s="78"/>
      <c r="AR257" s="78"/>
      <c r="AS257" s="78"/>
      <c r="AT257" s="79"/>
      <c r="AU257" s="79"/>
      <c r="AV257" s="79"/>
      <c r="AW257" s="79"/>
      <c r="AX257" s="79"/>
      <c r="AY257" s="79"/>
      <c r="AZ257" s="79"/>
      <c r="BA257" s="79"/>
      <c r="BB257" s="79"/>
    </row>
    <row r="258" spans="1:54" ht="16.5" customHeight="1">
      <c r="A258" s="33" t="s">
        <v>738</v>
      </c>
      <c r="B258" s="37">
        <v>201201</v>
      </c>
      <c r="C258" s="33" t="s">
        <v>226</v>
      </c>
      <c r="D258" s="37" t="s">
        <v>2249</v>
      </c>
      <c r="E258" s="37" t="s">
        <v>88</v>
      </c>
      <c r="F258" s="38"/>
      <c r="G258" s="34" t="s">
        <v>120</v>
      </c>
      <c r="H258" s="34"/>
      <c r="I258" s="37" t="s">
        <v>2250</v>
      </c>
      <c r="J258" s="36">
        <v>44179</v>
      </c>
      <c r="K258" s="36"/>
      <c r="L258" s="36">
        <v>44561</v>
      </c>
      <c r="M258" s="37" t="s">
        <v>146</v>
      </c>
      <c r="N258" s="37" t="s">
        <v>1880</v>
      </c>
      <c r="O258" s="37" t="s">
        <v>2251</v>
      </c>
      <c r="P258" s="37" t="s">
        <v>964</v>
      </c>
      <c r="Q258" s="37" t="s">
        <v>265</v>
      </c>
      <c r="R258" s="36">
        <v>40232</v>
      </c>
      <c r="S258" s="37"/>
      <c r="T258" s="36"/>
      <c r="U258" s="37" t="s">
        <v>2252</v>
      </c>
      <c r="V258" s="36">
        <v>40165</v>
      </c>
      <c r="W258" s="37"/>
      <c r="X258" s="36"/>
      <c r="Y258" s="37"/>
      <c r="Z258" s="37"/>
      <c r="AA258" s="37"/>
      <c r="AB258" s="37"/>
      <c r="AC258" s="39">
        <v>118</v>
      </c>
      <c r="AD258" s="37" t="str">
        <f t="shared" si="14"/>
        <v>9년 10개월</v>
      </c>
      <c r="AE258" s="39">
        <f ca="1">(재직자!$AL$1-J258)/30</f>
        <v>64.5</v>
      </c>
      <c r="AF258" s="37" t="str">
        <f t="shared" ca="1" si="15"/>
        <v>5년 4개월</v>
      </c>
      <c r="AG258" s="39">
        <f t="shared" ca="1" si="16"/>
        <v>182.5</v>
      </c>
      <c r="AH258" s="39" t="str">
        <f t="shared" ca="1" si="17"/>
        <v>15년 2개월</v>
      </c>
      <c r="AI258" s="44" t="s">
        <v>2253</v>
      </c>
      <c r="AJ258" s="37" t="s">
        <v>2254</v>
      </c>
      <c r="AK258" s="50" t="s">
        <v>2255</v>
      </c>
      <c r="AL258" s="37"/>
      <c r="AM258" s="37" t="s">
        <v>1208</v>
      </c>
      <c r="AN258" s="54" t="s">
        <v>2256</v>
      </c>
      <c r="AO258" s="32"/>
      <c r="AP258" s="32" t="s">
        <v>2190</v>
      </c>
      <c r="AQ258" s="32" t="s">
        <v>2191</v>
      </c>
      <c r="AR258" s="32" t="s">
        <v>2191</v>
      </c>
      <c r="AS258" s="32" t="s">
        <v>2191</v>
      </c>
      <c r="AT258" s="32"/>
      <c r="AU258" s="32"/>
      <c r="AV258" s="32"/>
      <c r="AW258" s="32"/>
      <c r="AX258" s="32"/>
      <c r="AY258" s="32"/>
      <c r="AZ258" s="32"/>
      <c r="BA258" s="32"/>
      <c r="BB258" s="32"/>
    </row>
    <row r="259" spans="1:54" ht="15" customHeight="1">
      <c r="A259" s="33" t="s">
        <v>216</v>
      </c>
      <c r="B259" s="33" t="s">
        <v>2257</v>
      </c>
      <c r="C259" s="33" t="s">
        <v>193</v>
      </c>
      <c r="D259" s="34" t="s">
        <v>2258</v>
      </c>
      <c r="E259" s="34" t="s">
        <v>34</v>
      </c>
      <c r="F259" s="38" t="s">
        <v>2259</v>
      </c>
      <c r="G259" s="34" t="s">
        <v>1644</v>
      </c>
      <c r="H259" s="34"/>
      <c r="I259" s="35" t="s">
        <v>2260</v>
      </c>
      <c r="J259" s="36">
        <v>43355</v>
      </c>
      <c r="K259" s="36"/>
      <c r="L259" s="36">
        <v>44561</v>
      </c>
      <c r="M259" s="37" t="s">
        <v>196</v>
      </c>
      <c r="N259" s="37" t="s">
        <v>2261</v>
      </c>
      <c r="O259" s="38" t="s">
        <v>1993</v>
      </c>
      <c r="P259" s="38" t="s">
        <v>711</v>
      </c>
      <c r="Q259" s="37" t="s">
        <v>198</v>
      </c>
      <c r="R259" s="36">
        <v>38226</v>
      </c>
      <c r="S259" s="37"/>
      <c r="T259" s="36"/>
      <c r="U259" s="37"/>
      <c r="V259" s="36"/>
      <c r="W259" s="37"/>
      <c r="X259" s="37"/>
      <c r="Y259" s="37"/>
      <c r="Z259" s="37"/>
      <c r="AA259" s="36"/>
      <c r="AB259" s="37"/>
      <c r="AC259" s="39">
        <v>163</v>
      </c>
      <c r="AD259" s="38" t="str">
        <f t="shared" si="14"/>
        <v>13년 7개월</v>
      </c>
      <c r="AE259" s="39">
        <f ca="1">(재직자!$AL$1-J259)/30</f>
        <v>91.966666666666669</v>
      </c>
      <c r="AF259" s="39" t="str">
        <f t="shared" ca="1" si="15"/>
        <v>7년 7개월</v>
      </c>
      <c r="AG259" s="39">
        <f t="shared" ca="1" si="16"/>
        <v>254.96666666666667</v>
      </c>
      <c r="AH259" s="39" t="str">
        <f t="shared" ca="1" si="17"/>
        <v>21년 2개월</v>
      </c>
      <c r="AI259" s="43" t="s">
        <v>2262</v>
      </c>
      <c r="AJ259" s="33" t="s">
        <v>2263</v>
      </c>
      <c r="AK259" s="50" t="s">
        <v>2264</v>
      </c>
      <c r="AL259" s="37"/>
      <c r="AM259" s="37" t="s">
        <v>2265</v>
      </c>
      <c r="AN259" s="54" t="s">
        <v>1632</v>
      </c>
      <c r="AO259" s="32"/>
      <c r="AP259" s="32" t="s">
        <v>2190</v>
      </c>
      <c r="AQ259" s="32" t="s">
        <v>2191</v>
      </c>
      <c r="AR259" s="32" t="s">
        <v>2191</v>
      </c>
      <c r="AS259" s="32" t="s">
        <v>2191</v>
      </c>
      <c r="AT259" s="32"/>
      <c r="AU259" s="32"/>
      <c r="AV259" s="32"/>
      <c r="AW259" s="32"/>
      <c r="AX259" s="32"/>
      <c r="AY259" s="32"/>
      <c r="AZ259" s="32"/>
      <c r="BA259" s="32"/>
      <c r="BB259" s="32"/>
    </row>
    <row r="260" spans="1:54" ht="16.5" customHeight="1">
      <c r="A260" s="33" t="s">
        <v>2266</v>
      </c>
      <c r="B260" s="37">
        <v>210803</v>
      </c>
      <c r="C260" s="33" t="s">
        <v>2051</v>
      </c>
      <c r="D260" s="37" t="s">
        <v>2267</v>
      </c>
      <c r="E260" s="37" t="s">
        <v>228</v>
      </c>
      <c r="F260" s="38"/>
      <c r="G260" s="34" t="s">
        <v>2129</v>
      </c>
      <c r="H260" s="34"/>
      <c r="I260" s="37" t="s">
        <v>2268</v>
      </c>
      <c r="J260" s="36">
        <v>44431</v>
      </c>
      <c r="K260" s="36"/>
      <c r="L260" s="36">
        <v>44561</v>
      </c>
      <c r="M260" s="37" t="s">
        <v>146</v>
      </c>
      <c r="N260" s="37" t="s">
        <v>263</v>
      </c>
      <c r="O260" s="37" t="s">
        <v>627</v>
      </c>
      <c r="P260" s="37" t="s">
        <v>964</v>
      </c>
      <c r="Q260" s="37" t="s">
        <v>265</v>
      </c>
      <c r="R260" s="36">
        <v>33999</v>
      </c>
      <c r="S260" s="37"/>
      <c r="T260" s="36"/>
      <c r="U260" s="37"/>
      <c r="V260" s="36"/>
      <c r="W260" s="37"/>
      <c r="X260" s="36"/>
      <c r="Y260" s="37"/>
      <c r="Z260" s="37"/>
      <c r="AA260" s="37"/>
      <c r="AB260" s="37"/>
      <c r="AC260" s="39">
        <v>329</v>
      </c>
      <c r="AD260" s="37" t="str">
        <f t="shared" si="14"/>
        <v>27년 5개월</v>
      </c>
      <c r="AE260" s="39">
        <f ca="1">(재직자!$AL$1-J260)/30</f>
        <v>56.1</v>
      </c>
      <c r="AF260" s="37" t="str">
        <f t="shared" ca="1" si="15"/>
        <v>4년 8개월</v>
      </c>
      <c r="AG260" s="39">
        <f t="shared" ca="1" si="16"/>
        <v>385.1</v>
      </c>
      <c r="AH260" s="39" t="str">
        <f t="shared" ca="1" si="17"/>
        <v>32년 1개월</v>
      </c>
      <c r="AI260" s="44" t="s">
        <v>2269</v>
      </c>
      <c r="AJ260" s="37" t="s">
        <v>2270</v>
      </c>
      <c r="AK260" s="50" t="s">
        <v>384</v>
      </c>
      <c r="AL260" s="37"/>
      <c r="AM260" s="37" t="s">
        <v>2271</v>
      </c>
      <c r="AN260" s="54" t="s">
        <v>2272</v>
      </c>
      <c r="AO260" s="32"/>
      <c r="AP260" s="32" t="s">
        <v>2190</v>
      </c>
      <c r="AQ260" s="78"/>
      <c r="AR260" s="78"/>
      <c r="AS260" s="78"/>
      <c r="AT260" s="79"/>
      <c r="AU260" s="79"/>
      <c r="AV260" s="79"/>
      <c r="AW260" s="79"/>
      <c r="AX260" s="79"/>
      <c r="AY260" s="79"/>
      <c r="AZ260" s="79"/>
      <c r="BA260" s="79"/>
      <c r="BB260" s="79"/>
    </row>
    <row r="261" spans="1:54" ht="16.5" customHeight="1">
      <c r="A261" s="33" t="s">
        <v>2273</v>
      </c>
      <c r="B261" s="37">
        <v>211204</v>
      </c>
      <c r="C261" s="33" t="s">
        <v>193</v>
      </c>
      <c r="D261" s="37" t="s">
        <v>2274</v>
      </c>
      <c r="E261" s="37" t="s">
        <v>51</v>
      </c>
      <c r="F261" s="38"/>
      <c r="G261" s="34" t="s">
        <v>52</v>
      </c>
      <c r="H261" s="34"/>
      <c r="I261" s="37" t="s">
        <v>2275</v>
      </c>
      <c r="J261" s="36">
        <v>44543</v>
      </c>
      <c r="K261" s="36"/>
      <c r="L261" s="36">
        <v>44572</v>
      </c>
      <c r="M261" s="37" t="s">
        <v>146</v>
      </c>
      <c r="N261" s="37" t="s">
        <v>2276</v>
      </c>
      <c r="O261" s="37" t="s">
        <v>2277</v>
      </c>
      <c r="P261" s="37" t="s">
        <v>711</v>
      </c>
      <c r="Q261" s="37" t="s">
        <v>265</v>
      </c>
      <c r="R261" s="36">
        <v>42229</v>
      </c>
      <c r="S261" s="37"/>
      <c r="T261" s="36"/>
      <c r="U261" s="37"/>
      <c r="V261" s="36"/>
      <c r="W261" s="37"/>
      <c r="X261" s="36"/>
      <c r="Y261" s="37"/>
      <c r="Z261" s="37"/>
      <c r="AA261" s="37"/>
      <c r="AB261" s="37"/>
      <c r="AC261" s="39">
        <v>13</v>
      </c>
      <c r="AD261" s="37" t="str">
        <f t="shared" si="14"/>
        <v>1년 1개월</v>
      </c>
      <c r="AE261" s="39">
        <f ca="1">(재직자!$AL$1-J261)/30</f>
        <v>52.366666666666667</v>
      </c>
      <c r="AF261" s="37" t="str">
        <f t="shared" ca="1" si="15"/>
        <v>4년 4개월</v>
      </c>
      <c r="AG261" s="39">
        <f t="shared" ca="1" si="16"/>
        <v>65.366666666666674</v>
      </c>
      <c r="AH261" s="39" t="str">
        <f t="shared" ca="1" si="17"/>
        <v>5년 5개월</v>
      </c>
      <c r="AI261" s="44" t="s">
        <v>2278</v>
      </c>
      <c r="AJ261" s="37" t="s">
        <v>2279</v>
      </c>
      <c r="AK261" s="50" t="s">
        <v>2280</v>
      </c>
      <c r="AL261" s="37"/>
      <c r="AM261" s="37" t="s">
        <v>2281</v>
      </c>
      <c r="AN261" s="54" t="s">
        <v>2282</v>
      </c>
      <c r="AO261" s="32"/>
      <c r="AP261" s="32" t="s">
        <v>2190</v>
      </c>
      <c r="AQ261" s="78"/>
      <c r="AR261" s="78"/>
      <c r="AS261" s="78"/>
      <c r="AT261" s="79"/>
      <c r="AU261" s="79"/>
      <c r="AV261" s="79"/>
      <c r="AW261" s="79"/>
      <c r="AX261" s="79"/>
      <c r="AY261" s="79"/>
      <c r="AZ261" s="79"/>
      <c r="BA261" s="79"/>
      <c r="BB261" s="79"/>
    </row>
    <row r="262" spans="1:54" ht="16.5" customHeight="1">
      <c r="A262" s="33" t="s">
        <v>536</v>
      </c>
      <c r="B262" s="33" t="s">
        <v>2283</v>
      </c>
      <c r="C262" s="33" t="s">
        <v>193</v>
      </c>
      <c r="D262" s="34" t="s">
        <v>2284</v>
      </c>
      <c r="E262" s="34" t="s">
        <v>44</v>
      </c>
      <c r="F262" s="34"/>
      <c r="G262" s="34" t="s">
        <v>1685</v>
      </c>
      <c r="H262" s="34"/>
      <c r="I262" s="35" t="s">
        <v>2285</v>
      </c>
      <c r="J262" s="36">
        <v>43516</v>
      </c>
      <c r="K262" s="36">
        <v>44228</v>
      </c>
      <c r="L262" s="36">
        <v>44608</v>
      </c>
      <c r="M262" s="37" t="s">
        <v>146</v>
      </c>
      <c r="N262" s="37" t="s">
        <v>2286</v>
      </c>
      <c r="O262" s="38" t="s">
        <v>2287</v>
      </c>
      <c r="P262" s="38" t="s">
        <v>711</v>
      </c>
      <c r="Q262" s="37" t="s">
        <v>265</v>
      </c>
      <c r="R262" s="36">
        <v>40956</v>
      </c>
      <c r="S262" s="37" t="s">
        <v>275</v>
      </c>
      <c r="T262" s="36">
        <v>43420</v>
      </c>
      <c r="U262" s="37" t="s">
        <v>764</v>
      </c>
      <c r="V262" s="36">
        <v>42403</v>
      </c>
      <c r="W262" s="37"/>
      <c r="X262" s="36"/>
      <c r="Y262" s="37"/>
      <c r="Z262" s="37"/>
      <c r="AA262" s="36"/>
      <c r="AB262" s="37"/>
      <c r="AC262" s="39">
        <v>21</v>
      </c>
      <c r="AD262" s="38" t="str">
        <f t="shared" si="14"/>
        <v>1년 9개월</v>
      </c>
      <c r="AE262" s="39">
        <f ca="1">(재직자!$AL$1-J262)/30</f>
        <v>86.6</v>
      </c>
      <c r="AF262" s="39" t="str">
        <f t="shared" ca="1" si="15"/>
        <v>7년 2개월</v>
      </c>
      <c r="AG262" s="39">
        <f t="shared" ca="1" si="16"/>
        <v>107.6</v>
      </c>
      <c r="AH262" s="39" t="str">
        <f t="shared" ca="1" si="17"/>
        <v>8년 11개월</v>
      </c>
      <c r="AI262" s="43" t="s">
        <v>2288</v>
      </c>
      <c r="AJ262" s="33" t="s">
        <v>2289</v>
      </c>
      <c r="AK262" s="62" t="s">
        <v>2290</v>
      </c>
      <c r="AL262" s="67"/>
      <c r="AM262" s="37" t="s">
        <v>2291</v>
      </c>
      <c r="AN262" s="54" t="s">
        <v>2292</v>
      </c>
      <c r="AO262" s="32"/>
      <c r="AP262" s="32" t="s">
        <v>2190</v>
      </c>
      <c r="AQ262" s="32" t="s">
        <v>2191</v>
      </c>
      <c r="AR262" s="32" t="s">
        <v>2191</v>
      </c>
      <c r="AS262" s="32" t="s">
        <v>2191</v>
      </c>
      <c r="AT262" s="32"/>
      <c r="AU262" s="32"/>
      <c r="AV262" s="32"/>
      <c r="AW262" s="32"/>
      <c r="AX262" s="32"/>
      <c r="AY262" s="32"/>
      <c r="AZ262" s="32"/>
      <c r="BA262" s="32"/>
      <c r="BB262" s="32"/>
    </row>
    <row r="263" spans="1:54" ht="16.5" customHeight="1">
      <c r="A263" s="33" t="s">
        <v>2293</v>
      </c>
      <c r="B263" s="37">
        <v>211106</v>
      </c>
      <c r="C263" s="33" t="s">
        <v>193</v>
      </c>
      <c r="D263" s="37" t="s">
        <v>2294</v>
      </c>
      <c r="E263" s="37" t="s">
        <v>51</v>
      </c>
      <c r="F263" s="38"/>
      <c r="G263" s="34" t="s">
        <v>1685</v>
      </c>
      <c r="H263" s="34"/>
      <c r="I263" s="37" t="s">
        <v>2295</v>
      </c>
      <c r="J263" s="36">
        <v>44529</v>
      </c>
      <c r="K263" s="36"/>
      <c r="L263" s="36">
        <v>44610</v>
      </c>
      <c r="M263" s="37" t="s">
        <v>146</v>
      </c>
      <c r="N263" s="37" t="s">
        <v>2276</v>
      </c>
      <c r="O263" s="37" t="s">
        <v>2296</v>
      </c>
      <c r="P263" s="37" t="s">
        <v>711</v>
      </c>
      <c r="Q263" s="37" t="s">
        <v>265</v>
      </c>
      <c r="R263" s="36">
        <v>43511</v>
      </c>
      <c r="S263" s="37"/>
      <c r="T263" s="36"/>
      <c r="U263" s="37"/>
      <c r="V263" s="36"/>
      <c r="W263" s="37"/>
      <c r="X263" s="36"/>
      <c r="Y263" s="37"/>
      <c r="Z263" s="37"/>
      <c r="AA263" s="37"/>
      <c r="AB263" s="37"/>
      <c r="AC263" s="39">
        <v>6</v>
      </c>
      <c r="AD263" s="37" t="str">
        <f t="shared" si="14"/>
        <v>0년 6개월</v>
      </c>
      <c r="AE263" s="39">
        <f ca="1">(재직자!$AL$1-J263)/30</f>
        <v>52.833333333333336</v>
      </c>
      <c r="AF263" s="37" t="str">
        <f t="shared" ca="1" si="15"/>
        <v>4년 4개월</v>
      </c>
      <c r="AG263" s="39">
        <f t="shared" ca="1" si="16"/>
        <v>58.833333333333336</v>
      </c>
      <c r="AH263" s="39" t="str">
        <f t="shared" ca="1" si="17"/>
        <v>4년 10개월</v>
      </c>
      <c r="AI263" s="44" t="s">
        <v>2297</v>
      </c>
      <c r="AJ263" s="37" t="s">
        <v>2298</v>
      </c>
      <c r="AK263" s="50" t="s">
        <v>2299</v>
      </c>
      <c r="AL263" s="37"/>
      <c r="AM263" s="37" t="s">
        <v>2300</v>
      </c>
      <c r="AN263" s="54" t="s">
        <v>2301</v>
      </c>
      <c r="AO263" s="32"/>
      <c r="AP263" s="32" t="s">
        <v>2190</v>
      </c>
      <c r="AQ263" s="78"/>
      <c r="AR263" s="78"/>
      <c r="AS263" s="78"/>
      <c r="AT263" s="79"/>
      <c r="AU263" s="79"/>
      <c r="AV263" s="79"/>
      <c r="AW263" s="79"/>
      <c r="AX263" s="79"/>
      <c r="AY263" s="79"/>
      <c r="AZ263" s="79"/>
      <c r="BA263" s="79"/>
      <c r="BB263" s="79"/>
    </row>
    <row r="264" spans="1:54" ht="16.5" customHeight="1">
      <c r="A264" s="33" t="s">
        <v>204</v>
      </c>
      <c r="B264" s="33" t="s">
        <v>2302</v>
      </c>
      <c r="C264" s="33" t="s">
        <v>226</v>
      </c>
      <c r="D264" s="34" t="s">
        <v>2303</v>
      </c>
      <c r="E264" s="34" t="s">
        <v>44</v>
      </c>
      <c r="F264" s="34"/>
      <c r="G264" s="34" t="s">
        <v>463</v>
      </c>
      <c r="H264" s="34"/>
      <c r="I264" s="35" t="s">
        <v>2304</v>
      </c>
      <c r="J264" s="36">
        <v>43770</v>
      </c>
      <c r="K264" s="36">
        <v>44228</v>
      </c>
      <c r="L264" s="36">
        <v>44620</v>
      </c>
      <c r="M264" s="37" t="s">
        <v>153</v>
      </c>
      <c r="N264" s="37" t="s">
        <v>1234</v>
      </c>
      <c r="O264" s="38" t="s">
        <v>2305</v>
      </c>
      <c r="P264" s="38" t="s">
        <v>964</v>
      </c>
      <c r="Q264" s="37" t="s">
        <v>209</v>
      </c>
      <c r="R264" s="36">
        <v>41517</v>
      </c>
      <c r="S264" s="37"/>
      <c r="T264" s="36"/>
      <c r="U264" s="37"/>
      <c r="V264" s="36"/>
      <c r="W264" s="37"/>
      <c r="X264" s="36"/>
      <c r="Y264" s="37"/>
      <c r="Z264" s="37"/>
      <c r="AA264" s="36"/>
      <c r="AB264" s="37"/>
      <c r="AC264" s="39">
        <v>44</v>
      </c>
      <c r="AD264" s="38" t="str">
        <f t="shared" si="14"/>
        <v>3년 8개월</v>
      </c>
      <c r="AE264" s="39">
        <f ca="1">(재직자!$AL$1-J264)/30</f>
        <v>78.13333333333334</v>
      </c>
      <c r="AF264" s="39" t="str">
        <f t="shared" ca="1" si="15"/>
        <v>6년 6개월</v>
      </c>
      <c r="AG264" s="39">
        <f t="shared" ca="1" si="16"/>
        <v>122.13333333333334</v>
      </c>
      <c r="AH264" s="39" t="str">
        <f t="shared" ca="1" si="17"/>
        <v>10년 2개월</v>
      </c>
      <c r="AI264" s="43" t="s">
        <v>2306</v>
      </c>
      <c r="AJ264" s="33" t="s">
        <v>2307</v>
      </c>
      <c r="AK264" s="62" t="s">
        <v>2308</v>
      </c>
      <c r="AL264" s="67"/>
      <c r="AM264" s="37" t="s">
        <v>2309</v>
      </c>
      <c r="AN264" s="54" t="s">
        <v>2310</v>
      </c>
      <c r="AO264" s="32"/>
      <c r="AP264" s="32" t="s">
        <v>2190</v>
      </c>
      <c r="AQ264" s="32" t="s">
        <v>2191</v>
      </c>
      <c r="AR264" s="32" t="s">
        <v>2191</v>
      </c>
      <c r="AS264" s="32" t="s">
        <v>2191</v>
      </c>
      <c r="AT264" s="32"/>
      <c r="AU264" s="32"/>
      <c r="AV264" s="32"/>
      <c r="AW264" s="32"/>
      <c r="AX264" s="32"/>
      <c r="AY264" s="32"/>
      <c r="AZ264" s="32"/>
      <c r="BA264" s="32"/>
      <c r="BB264" s="32"/>
    </row>
    <row r="265" spans="1:54" ht="16.5" customHeight="1">
      <c r="A265" s="33" t="s">
        <v>2311</v>
      </c>
      <c r="B265" s="37">
        <v>211207</v>
      </c>
      <c r="C265" s="33" t="s">
        <v>193</v>
      </c>
      <c r="D265" s="37" t="s">
        <v>2312</v>
      </c>
      <c r="E265" s="37" t="s">
        <v>51</v>
      </c>
      <c r="F265" s="38"/>
      <c r="G265" s="34" t="s">
        <v>2313</v>
      </c>
      <c r="H265" s="34"/>
      <c r="I265" s="37" t="s">
        <v>2314</v>
      </c>
      <c r="J265" s="36">
        <v>44557</v>
      </c>
      <c r="K265" s="36"/>
      <c r="L265" s="36">
        <v>44620</v>
      </c>
      <c r="M265" s="37" t="s">
        <v>146</v>
      </c>
      <c r="N265" s="37" t="s">
        <v>2315</v>
      </c>
      <c r="O265" s="37" t="s">
        <v>1194</v>
      </c>
      <c r="P265" s="37" t="s">
        <v>711</v>
      </c>
      <c r="Q265" s="37" t="s">
        <v>265</v>
      </c>
      <c r="R265" s="36">
        <v>44610</v>
      </c>
      <c r="S265" s="37"/>
      <c r="T265" s="36"/>
      <c r="U265" s="37"/>
      <c r="V265" s="36"/>
      <c r="W265" s="37"/>
      <c r="X265" s="36"/>
      <c r="Y265" s="37"/>
      <c r="Z265" s="37"/>
      <c r="AA265" s="37"/>
      <c r="AB265" s="37"/>
      <c r="AC265" s="39"/>
      <c r="AD265" s="37" t="str">
        <f t="shared" si="14"/>
        <v>0년 0개월</v>
      </c>
      <c r="AE265" s="39">
        <f ca="1">(재직자!$AL$1-J265)/30</f>
        <v>51.9</v>
      </c>
      <c r="AF265" s="37" t="str">
        <f t="shared" ca="1" si="15"/>
        <v>4년 3개월</v>
      </c>
      <c r="AG265" s="39">
        <f t="shared" ca="1" si="16"/>
        <v>51.9</v>
      </c>
      <c r="AH265" s="39" t="str">
        <f t="shared" ca="1" si="17"/>
        <v>4년 3개월</v>
      </c>
      <c r="AI265" s="44" t="s">
        <v>2316</v>
      </c>
      <c r="AJ265" s="37" t="s">
        <v>2317</v>
      </c>
      <c r="AK265" s="50" t="s">
        <v>2318</v>
      </c>
      <c r="AL265" s="37"/>
      <c r="AM265" s="37" t="s">
        <v>2319</v>
      </c>
      <c r="AN265" s="54" t="s">
        <v>2320</v>
      </c>
      <c r="AO265" s="32"/>
      <c r="AP265" s="32"/>
      <c r="AQ265" s="78"/>
      <c r="AR265" s="78"/>
      <c r="AS265" s="78"/>
      <c r="AT265" s="79"/>
      <c r="AU265" s="79"/>
      <c r="AV265" s="79"/>
      <c r="AW265" s="79"/>
      <c r="AX265" s="79"/>
      <c r="AY265" s="79"/>
      <c r="AZ265" s="79"/>
      <c r="BA265" s="79"/>
      <c r="BB265" s="79"/>
    </row>
    <row r="266" spans="1:54" ht="16.5" customHeight="1">
      <c r="A266" s="33" t="s">
        <v>510</v>
      </c>
      <c r="B266" s="37">
        <v>200801</v>
      </c>
      <c r="C266" s="33" t="s">
        <v>226</v>
      </c>
      <c r="D266" s="37" t="s">
        <v>2321</v>
      </c>
      <c r="E266" s="37" t="s">
        <v>228</v>
      </c>
      <c r="F266" s="38"/>
      <c r="G266" s="34" t="s">
        <v>1685</v>
      </c>
      <c r="H266" s="34"/>
      <c r="I266" s="37" t="s">
        <v>2322</v>
      </c>
      <c r="J266" s="36">
        <v>44046</v>
      </c>
      <c r="K266" s="36"/>
      <c r="L266" s="36">
        <v>44638</v>
      </c>
      <c r="M266" s="37" t="s">
        <v>196</v>
      </c>
      <c r="N266" s="37" t="s">
        <v>1679</v>
      </c>
      <c r="O266" s="37" t="s">
        <v>1235</v>
      </c>
      <c r="P266" s="37" t="s">
        <v>711</v>
      </c>
      <c r="Q266" s="37" t="s">
        <v>198</v>
      </c>
      <c r="R266" s="36">
        <v>37120</v>
      </c>
      <c r="S266" s="37" t="s">
        <v>275</v>
      </c>
      <c r="T266" s="36">
        <v>35786</v>
      </c>
      <c r="U266" s="37"/>
      <c r="V266" s="36"/>
      <c r="W266" s="37"/>
      <c r="X266" s="37"/>
      <c r="Y266" s="37"/>
      <c r="Z266" s="37"/>
      <c r="AA266" s="37"/>
      <c r="AB266" s="37"/>
      <c r="AC266" s="39">
        <v>204</v>
      </c>
      <c r="AD266" s="37" t="str">
        <f t="shared" si="14"/>
        <v>17년 0개월</v>
      </c>
      <c r="AE266" s="39">
        <f ca="1">(재직자!$AL$1-J266)/30</f>
        <v>68.933333333333337</v>
      </c>
      <c r="AF266" s="37" t="str">
        <f t="shared" ca="1" si="15"/>
        <v>5년 8개월</v>
      </c>
      <c r="AG266" s="39">
        <f t="shared" ca="1" si="16"/>
        <v>272.93333333333334</v>
      </c>
      <c r="AH266" s="39" t="str">
        <f t="shared" ca="1" si="17"/>
        <v>22년 8개월</v>
      </c>
      <c r="AI266" s="44" t="s">
        <v>2323</v>
      </c>
      <c r="AJ266" s="37" t="s">
        <v>2324</v>
      </c>
      <c r="AK266" s="50" t="s">
        <v>2325</v>
      </c>
      <c r="AL266" s="37"/>
      <c r="AM266" s="37" t="s">
        <v>2326</v>
      </c>
      <c r="AN266" s="54" t="s">
        <v>2327</v>
      </c>
      <c r="AO266" s="32"/>
      <c r="AP266" s="32" t="s">
        <v>2190</v>
      </c>
      <c r="AQ266" s="32" t="s">
        <v>2191</v>
      </c>
      <c r="AR266" s="32" t="s">
        <v>2191</v>
      </c>
      <c r="AS266" s="32" t="s">
        <v>2191</v>
      </c>
      <c r="AT266" s="32"/>
      <c r="AU266" s="32"/>
      <c r="AV266" s="32"/>
      <c r="AW266" s="32"/>
      <c r="AX266" s="32"/>
      <c r="AY266" s="32"/>
      <c r="AZ266" s="32"/>
      <c r="BA266" s="32"/>
      <c r="BB266" s="32"/>
    </row>
    <row r="267" spans="1:54" ht="15" customHeight="1">
      <c r="A267" s="33" t="s">
        <v>42</v>
      </c>
      <c r="B267" s="33" t="s">
        <v>2328</v>
      </c>
      <c r="C267" s="33" t="s">
        <v>193</v>
      </c>
      <c r="D267" s="34" t="s">
        <v>2329</v>
      </c>
      <c r="E267" s="34" t="s">
        <v>228</v>
      </c>
      <c r="F267" s="38" t="s">
        <v>2330</v>
      </c>
      <c r="G267" s="34" t="s">
        <v>1644</v>
      </c>
      <c r="H267" s="34"/>
      <c r="I267" s="35" t="s">
        <v>2331</v>
      </c>
      <c r="J267" s="36">
        <v>37987</v>
      </c>
      <c r="K267" s="36">
        <v>41275</v>
      </c>
      <c r="L267" s="36">
        <v>44651</v>
      </c>
      <c r="M267" s="37" t="s">
        <v>153</v>
      </c>
      <c r="N267" s="37" t="s">
        <v>355</v>
      </c>
      <c r="O267" s="38" t="s">
        <v>1133</v>
      </c>
      <c r="P267" s="38"/>
      <c r="Q267" s="37" t="s">
        <v>209</v>
      </c>
      <c r="R267" s="36">
        <v>43880</v>
      </c>
      <c r="S267" s="36"/>
      <c r="T267" s="37"/>
      <c r="U267" s="36"/>
      <c r="V267" s="37"/>
      <c r="W267" s="37"/>
      <c r="X267" s="37"/>
      <c r="Y267" s="37" t="s">
        <v>199</v>
      </c>
      <c r="Z267" s="37"/>
      <c r="AA267" s="36"/>
      <c r="AB267" s="37"/>
      <c r="AC267" s="39">
        <v>80</v>
      </c>
      <c r="AD267" s="38" t="str">
        <f t="shared" si="14"/>
        <v>6년 8개월</v>
      </c>
      <c r="AE267" s="39">
        <f ca="1">(재직자!$AL$1-J267)/30</f>
        <v>270.89999999999998</v>
      </c>
      <c r="AF267" s="39" t="str">
        <f t="shared" ca="1" si="15"/>
        <v>22년 6개월</v>
      </c>
      <c r="AG267" s="39">
        <f t="shared" ca="1" si="16"/>
        <v>350.9</v>
      </c>
      <c r="AH267" s="39" t="str">
        <f t="shared" ca="1" si="17"/>
        <v>29년 2개월</v>
      </c>
      <c r="AI267" s="43" t="s">
        <v>2332</v>
      </c>
      <c r="AJ267" s="33" t="s">
        <v>2333</v>
      </c>
      <c r="AK267" s="50" t="s">
        <v>2334</v>
      </c>
      <c r="AL267" s="37"/>
      <c r="AM267" s="37" t="s">
        <v>2335</v>
      </c>
      <c r="AN267" s="54" t="s">
        <v>2336</v>
      </c>
      <c r="AO267" s="32"/>
      <c r="AP267" s="32" t="s">
        <v>2190</v>
      </c>
      <c r="AQ267" s="32" t="s">
        <v>2191</v>
      </c>
      <c r="AR267" s="32" t="s">
        <v>2191</v>
      </c>
      <c r="AS267" s="32" t="s">
        <v>2191</v>
      </c>
      <c r="AT267" s="32"/>
      <c r="AU267" s="32"/>
      <c r="AV267" s="32"/>
      <c r="AW267" s="32"/>
      <c r="AX267" s="32"/>
      <c r="AY267" s="32"/>
      <c r="AZ267" s="32"/>
      <c r="BA267" s="32"/>
      <c r="BB267" s="32"/>
    </row>
    <row r="268" spans="1:54" ht="16.5" customHeight="1">
      <c r="A268" s="33" t="s">
        <v>2238</v>
      </c>
      <c r="B268" s="37">
        <v>211105</v>
      </c>
      <c r="C268" s="33" t="s">
        <v>924</v>
      </c>
      <c r="D268" s="37" t="s">
        <v>2337</v>
      </c>
      <c r="E268" s="37" t="s">
        <v>51</v>
      </c>
      <c r="F268" s="38"/>
      <c r="G268" s="34" t="s">
        <v>1685</v>
      </c>
      <c r="H268" s="34"/>
      <c r="I268" s="37" t="s">
        <v>2338</v>
      </c>
      <c r="J268" s="36">
        <v>44522</v>
      </c>
      <c r="K268" s="36"/>
      <c r="L268" s="36">
        <v>44651</v>
      </c>
      <c r="M268" s="37" t="s">
        <v>146</v>
      </c>
      <c r="N268" s="37" t="s">
        <v>2315</v>
      </c>
      <c r="O268" s="37" t="s">
        <v>1194</v>
      </c>
      <c r="P268" s="37" t="s">
        <v>711</v>
      </c>
      <c r="Q268" s="37" t="s">
        <v>265</v>
      </c>
      <c r="R268" s="36">
        <v>43154</v>
      </c>
      <c r="S268" s="37"/>
      <c r="T268" s="36"/>
      <c r="U268" s="37" t="s">
        <v>2339</v>
      </c>
      <c r="V268" s="36">
        <v>40448</v>
      </c>
      <c r="W268" s="37"/>
      <c r="X268" s="36"/>
      <c r="Y268" s="37"/>
      <c r="Z268" s="37"/>
      <c r="AA268" s="37"/>
      <c r="AB268" s="37"/>
      <c r="AC268" s="39">
        <v>39</v>
      </c>
      <c r="AD268" s="37" t="str">
        <f t="shared" si="14"/>
        <v>3년 3개월</v>
      </c>
      <c r="AE268" s="39">
        <f ca="1">(재직자!$AL$1-J268)/30</f>
        <v>53.06666666666667</v>
      </c>
      <c r="AF268" s="37" t="str">
        <f t="shared" ca="1" si="15"/>
        <v>4년 5개월</v>
      </c>
      <c r="AG268" s="39">
        <f t="shared" ca="1" si="16"/>
        <v>92.066666666666663</v>
      </c>
      <c r="AH268" s="39" t="str">
        <f t="shared" ca="1" si="17"/>
        <v>7년 8개월</v>
      </c>
      <c r="AI268" s="44" t="s">
        <v>2340</v>
      </c>
      <c r="AJ268" s="37" t="s">
        <v>2341</v>
      </c>
      <c r="AK268" s="50" t="s">
        <v>2342</v>
      </c>
      <c r="AL268" s="37"/>
      <c r="AM268" s="37" t="s">
        <v>2343</v>
      </c>
      <c r="AN268" s="54" t="s">
        <v>2344</v>
      </c>
      <c r="AO268" s="32"/>
      <c r="AP268" s="32" t="s">
        <v>2190</v>
      </c>
      <c r="AQ268" s="78"/>
      <c r="AR268" s="78"/>
      <c r="AS268" s="78"/>
      <c r="AT268" s="79"/>
      <c r="AU268" s="79"/>
      <c r="AV268" s="79"/>
      <c r="AW268" s="79"/>
      <c r="AX268" s="79"/>
      <c r="AY268" s="79"/>
      <c r="AZ268" s="79"/>
      <c r="BA268" s="79"/>
      <c r="BB268" s="79"/>
    </row>
    <row r="269" spans="1:54" ht="16.5" customHeight="1">
      <c r="A269" s="33" t="s">
        <v>2000</v>
      </c>
      <c r="B269" s="37">
        <v>211101</v>
      </c>
      <c r="C269" s="33" t="s">
        <v>511</v>
      </c>
      <c r="D269" s="37" t="s">
        <v>2345</v>
      </c>
      <c r="E269" s="37" t="s">
        <v>34</v>
      </c>
      <c r="F269" s="38"/>
      <c r="G269" s="34" t="s">
        <v>1644</v>
      </c>
      <c r="H269" s="34"/>
      <c r="I269" s="37" t="s">
        <v>2346</v>
      </c>
      <c r="J269" s="36">
        <v>44508</v>
      </c>
      <c r="K269" s="36"/>
      <c r="L269" s="36">
        <v>44680</v>
      </c>
      <c r="M269" s="37" t="s">
        <v>153</v>
      </c>
      <c r="N269" s="37" t="s">
        <v>731</v>
      </c>
      <c r="O269" s="37" t="s">
        <v>457</v>
      </c>
      <c r="P269" s="37" t="s">
        <v>711</v>
      </c>
      <c r="Q269" s="37" t="s">
        <v>209</v>
      </c>
      <c r="R269" s="36">
        <v>43705</v>
      </c>
      <c r="S269" s="37"/>
      <c r="T269" s="36"/>
      <c r="U269" s="37"/>
      <c r="V269" s="36"/>
      <c r="W269" s="37"/>
      <c r="X269" s="36"/>
      <c r="Y269" s="37"/>
      <c r="Z269" s="37"/>
      <c r="AA269" s="37"/>
      <c r="AB269" s="37"/>
      <c r="AC269" s="39">
        <v>84</v>
      </c>
      <c r="AD269" s="37" t="str">
        <f t="shared" si="14"/>
        <v>7년 0개월</v>
      </c>
      <c r="AE269" s="39">
        <f ca="1">(재직자!$AL$1-J269)/30</f>
        <v>53.533333333333331</v>
      </c>
      <c r="AF269" s="37" t="str">
        <f t="shared" ca="1" si="15"/>
        <v>4년 5개월</v>
      </c>
      <c r="AG269" s="39">
        <f t="shared" ca="1" si="16"/>
        <v>137.53333333333333</v>
      </c>
      <c r="AH269" s="39" t="str">
        <f t="shared" ca="1" si="17"/>
        <v>11년 5개월</v>
      </c>
      <c r="AI269" s="44" t="s">
        <v>2347</v>
      </c>
      <c r="AJ269" s="37" t="s">
        <v>2348</v>
      </c>
      <c r="AK269" s="50" t="s">
        <v>2349</v>
      </c>
      <c r="AL269" s="37"/>
      <c r="AM269" s="37" t="s">
        <v>2350</v>
      </c>
      <c r="AN269" s="54" t="s">
        <v>2351</v>
      </c>
      <c r="AO269" s="32"/>
      <c r="AP269" s="32"/>
      <c r="AQ269" s="78"/>
      <c r="AR269" s="78"/>
      <c r="AS269" s="78"/>
      <c r="AT269" s="79"/>
      <c r="AU269" s="79"/>
      <c r="AV269" s="79"/>
      <c r="AW269" s="79"/>
      <c r="AX269" s="79"/>
      <c r="AY269" s="79"/>
      <c r="AZ269" s="79"/>
      <c r="BA269" s="79"/>
      <c r="BB269" s="79"/>
    </row>
    <row r="270" spans="1:54" ht="16.5" customHeight="1">
      <c r="A270" s="33" t="s">
        <v>2352</v>
      </c>
      <c r="B270" s="37">
        <v>220301</v>
      </c>
      <c r="C270" s="33" t="s">
        <v>395</v>
      </c>
      <c r="D270" s="37" t="s">
        <v>2353</v>
      </c>
      <c r="E270" s="37" t="s">
        <v>228</v>
      </c>
      <c r="F270" s="38"/>
      <c r="G270" s="34" t="s">
        <v>1644</v>
      </c>
      <c r="H270" s="34"/>
      <c r="I270" s="37" t="s">
        <v>2354</v>
      </c>
      <c r="J270" s="36">
        <v>44622</v>
      </c>
      <c r="K270" s="36"/>
      <c r="L270" s="36">
        <v>44681</v>
      </c>
      <c r="M270" s="37" t="s">
        <v>153</v>
      </c>
      <c r="N270" s="37" t="s">
        <v>2355</v>
      </c>
      <c r="O270" s="37" t="s">
        <v>2356</v>
      </c>
      <c r="P270" s="37" t="s">
        <v>711</v>
      </c>
      <c r="Q270" s="37" t="s">
        <v>209</v>
      </c>
      <c r="R270" s="36"/>
      <c r="S270" s="37"/>
      <c r="T270" s="36"/>
      <c r="U270" s="37"/>
      <c r="V270" s="36"/>
      <c r="W270" s="37"/>
      <c r="X270" s="36"/>
      <c r="Y270" s="37"/>
      <c r="Z270" s="37"/>
      <c r="AA270" s="37"/>
      <c r="AB270" s="37"/>
      <c r="AC270" s="39">
        <v>234</v>
      </c>
      <c r="AD270" s="37" t="str">
        <f t="shared" si="14"/>
        <v>19년 6개월</v>
      </c>
      <c r="AE270" s="39">
        <f ca="1">(재직자!$AL$1-J270)/30</f>
        <v>49.733333333333334</v>
      </c>
      <c r="AF270" s="37" t="str">
        <f t="shared" ca="1" si="15"/>
        <v>4년 1개월</v>
      </c>
      <c r="AG270" s="39">
        <f t="shared" ca="1" si="16"/>
        <v>283.73333333333335</v>
      </c>
      <c r="AH270" s="39" t="str">
        <f t="shared" ca="1" si="17"/>
        <v>23년 7개월</v>
      </c>
      <c r="AI270" s="44" t="s">
        <v>2357</v>
      </c>
      <c r="AJ270" s="37" t="s">
        <v>2358</v>
      </c>
      <c r="AK270" s="50" t="s">
        <v>2359</v>
      </c>
      <c r="AL270" s="37"/>
      <c r="AM270" s="37" t="s">
        <v>2360</v>
      </c>
      <c r="AN270" s="54"/>
      <c r="AO270" s="32"/>
      <c r="AP270" s="32"/>
      <c r="AQ270" s="78"/>
      <c r="AR270" s="78"/>
      <c r="AS270" s="78"/>
      <c r="AT270" s="79"/>
      <c r="AU270" s="79"/>
      <c r="AV270" s="79"/>
      <c r="AW270" s="79"/>
      <c r="AX270" s="79"/>
      <c r="AY270" s="79"/>
      <c r="AZ270" s="79"/>
      <c r="BA270" s="79"/>
      <c r="BB270" s="79"/>
    </row>
    <row r="271" spans="1:54" ht="16.5" customHeight="1">
      <c r="A271" s="33" t="s">
        <v>2000</v>
      </c>
      <c r="B271" s="37">
        <v>211102</v>
      </c>
      <c r="C271" s="33" t="s">
        <v>924</v>
      </c>
      <c r="D271" s="37" t="s">
        <v>2361</v>
      </c>
      <c r="E271" s="37" t="s">
        <v>51</v>
      </c>
      <c r="F271" s="38"/>
      <c r="G271" s="80" t="s">
        <v>52</v>
      </c>
      <c r="H271" s="34"/>
      <c r="I271" s="37" t="s">
        <v>2362</v>
      </c>
      <c r="J271" s="36">
        <v>44518</v>
      </c>
      <c r="K271" s="36"/>
      <c r="L271" s="36">
        <v>44694</v>
      </c>
      <c r="M271" s="37" t="s">
        <v>153</v>
      </c>
      <c r="N271" s="37" t="s">
        <v>541</v>
      </c>
      <c r="O271" s="37" t="s">
        <v>2363</v>
      </c>
      <c r="P271" s="37" t="s">
        <v>2036</v>
      </c>
      <c r="Q271" s="37" t="s">
        <v>209</v>
      </c>
      <c r="R271" s="36">
        <v>43518</v>
      </c>
      <c r="S271" s="37"/>
      <c r="T271" s="36"/>
      <c r="U271" s="37"/>
      <c r="V271" s="36"/>
      <c r="W271" s="37"/>
      <c r="X271" s="36"/>
      <c r="Y271" s="37"/>
      <c r="Z271" s="37"/>
      <c r="AA271" s="37"/>
      <c r="AB271" s="37"/>
      <c r="AC271" s="39"/>
      <c r="AD271" s="37" t="str">
        <f t="shared" si="14"/>
        <v>0년 0개월</v>
      </c>
      <c r="AE271" s="39">
        <f ca="1">(재직자!$AL$1-J271)/30</f>
        <v>53.2</v>
      </c>
      <c r="AF271" s="37" t="str">
        <f t="shared" ca="1" si="15"/>
        <v>4년 5개월</v>
      </c>
      <c r="AG271" s="39">
        <f t="shared" ca="1" si="16"/>
        <v>53.2</v>
      </c>
      <c r="AH271" s="39" t="str">
        <f t="shared" ca="1" si="17"/>
        <v>4년 5개월</v>
      </c>
      <c r="AI271" s="44" t="s">
        <v>2364</v>
      </c>
      <c r="AJ271" s="37" t="s">
        <v>2365</v>
      </c>
      <c r="AK271" s="50" t="s">
        <v>2366</v>
      </c>
      <c r="AL271" s="37"/>
      <c r="AM271" s="37" t="s">
        <v>2367</v>
      </c>
      <c r="AN271" s="54" t="s">
        <v>1748</v>
      </c>
      <c r="AO271" s="32"/>
      <c r="AP271" s="32" t="s">
        <v>2190</v>
      </c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</row>
    <row r="272" spans="1:54" ht="16.5" customHeight="1">
      <c r="A272" s="33" t="s">
        <v>2368</v>
      </c>
      <c r="B272" s="37">
        <v>220201</v>
      </c>
      <c r="C272" s="33" t="s">
        <v>2369</v>
      </c>
      <c r="D272" s="37" t="s">
        <v>2370</v>
      </c>
      <c r="E272" s="37" t="s">
        <v>139</v>
      </c>
      <c r="F272" s="38"/>
      <c r="G272" s="80" t="s">
        <v>120</v>
      </c>
      <c r="H272" s="34"/>
      <c r="I272" s="37" t="s">
        <v>2371</v>
      </c>
      <c r="J272" s="36">
        <v>44595</v>
      </c>
      <c r="K272" s="36"/>
      <c r="L272" s="36">
        <v>44697</v>
      </c>
      <c r="M272" s="37" t="s">
        <v>153</v>
      </c>
      <c r="N272" s="37" t="s">
        <v>506</v>
      </c>
      <c r="O272" s="37" t="s">
        <v>457</v>
      </c>
      <c r="P272" s="37" t="s">
        <v>964</v>
      </c>
      <c r="Q272" s="37" t="s">
        <v>209</v>
      </c>
      <c r="R272" s="36">
        <v>36579</v>
      </c>
      <c r="S272" s="37"/>
      <c r="T272" s="36"/>
      <c r="U272" s="37"/>
      <c r="V272" s="36"/>
      <c r="W272" s="37"/>
      <c r="X272" s="36"/>
      <c r="Y272" s="37"/>
      <c r="Z272" s="37"/>
      <c r="AA272" s="37"/>
      <c r="AB272" s="37"/>
      <c r="AC272" s="39">
        <v>241</v>
      </c>
      <c r="AD272" s="37" t="str">
        <f t="shared" si="14"/>
        <v>20년 1개월</v>
      </c>
      <c r="AE272" s="39">
        <f ca="1">(재직자!$AL$1-J272)/30</f>
        <v>50.633333333333333</v>
      </c>
      <c r="AF272" s="37" t="str">
        <f t="shared" ca="1" si="15"/>
        <v>4년 2개월</v>
      </c>
      <c r="AG272" s="39">
        <f t="shared" ca="1" si="16"/>
        <v>291.63333333333333</v>
      </c>
      <c r="AH272" s="39" t="str">
        <f t="shared" ca="1" si="17"/>
        <v>24년 3개월</v>
      </c>
      <c r="AI272" s="44" t="s">
        <v>2372</v>
      </c>
      <c r="AJ272" s="37" t="s">
        <v>2373</v>
      </c>
      <c r="AK272" s="50" t="s">
        <v>2023</v>
      </c>
      <c r="AL272" s="37"/>
      <c r="AM272" s="37" t="s">
        <v>2374</v>
      </c>
      <c r="AN272" s="54" t="s">
        <v>2375</v>
      </c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</row>
    <row r="273" spans="1:54" ht="16.5" customHeight="1">
      <c r="A273" s="33" t="s">
        <v>798</v>
      </c>
      <c r="B273" s="33" t="s">
        <v>2376</v>
      </c>
      <c r="C273" s="33" t="s">
        <v>193</v>
      </c>
      <c r="D273" s="34" t="s">
        <v>2377</v>
      </c>
      <c r="E273" s="34" t="s">
        <v>34</v>
      </c>
      <c r="F273" s="34" t="s">
        <v>2378</v>
      </c>
      <c r="G273" s="80" t="s">
        <v>1685</v>
      </c>
      <c r="H273" s="34"/>
      <c r="I273" s="35" t="s">
        <v>2379</v>
      </c>
      <c r="J273" s="36">
        <v>43416</v>
      </c>
      <c r="K273" s="36"/>
      <c r="L273" s="36">
        <v>44701</v>
      </c>
      <c r="M273" s="37" t="s">
        <v>153</v>
      </c>
      <c r="N273" s="37" t="s">
        <v>2090</v>
      </c>
      <c r="O273" s="38" t="s">
        <v>457</v>
      </c>
      <c r="P273" s="38" t="s">
        <v>1794</v>
      </c>
      <c r="Q273" s="37" t="s">
        <v>209</v>
      </c>
      <c r="R273" s="36"/>
      <c r="S273" s="37"/>
      <c r="T273" s="36"/>
      <c r="U273" s="37"/>
      <c r="V273" s="36"/>
      <c r="W273" s="37"/>
      <c r="X273" s="36"/>
      <c r="Y273" s="37"/>
      <c r="Z273" s="37"/>
      <c r="AA273" s="36"/>
      <c r="AB273" s="37"/>
      <c r="AC273" s="39">
        <v>167</v>
      </c>
      <c r="AD273" s="38" t="str">
        <f t="shared" si="14"/>
        <v>13년 11개월</v>
      </c>
      <c r="AE273" s="39">
        <f ca="1">(재직자!$AL$1-J273)/30</f>
        <v>89.933333333333337</v>
      </c>
      <c r="AF273" s="39" t="str">
        <f t="shared" ca="1" si="15"/>
        <v>7년 5개월</v>
      </c>
      <c r="AG273" s="39">
        <f t="shared" ca="1" si="16"/>
        <v>256.93333333333334</v>
      </c>
      <c r="AH273" s="39" t="str">
        <f t="shared" ca="1" si="17"/>
        <v>21년 4개월</v>
      </c>
      <c r="AI273" s="43" t="s">
        <v>2380</v>
      </c>
      <c r="AJ273" s="33" t="s">
        <v>2381</v>
      </c>
      <c r="AK273" s="62" t="s">
        <v>2382</v>
      </c>
      <c r="AL273" s="37"/>
      <c r="AM273" s="37" t="s">
        <v>2383</v>
      </c>
      <c r="AN273" s="54" t="s">
        <v>1719</v>
      </c>
      <c r="AO273" s="32"/>
      <c r="AP273" s="32" t="s">
        <v>2190</v>
      </c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</row>
    <row r="274" spans="1:54" ht="16.5" customHeight="1">
      <c r="A274" s="33" t="s">
        <v>2384</v>
      </c>
      <c r="B274" s="37">
        <v>210309</v>
      </c>
      <c r="C274" s="33" t="s">
        <v>924</v>
      </c>
      <c r="D274" s="37" t="s">
        <v>2385</v>
      </c>
      <c r="E274" s="37" t="s">
        <v>228</v>
      </c>
      <c r="F274" s="38"/>
      <c r="G274" s="80" t="s">
        <v>1878</v>
      </c>
      <c r="H274" s="34"/>
      <c r="I274" s="37" t="s">
        <v>2386</v>
      </c>
      <c r="J274" s="36">
        <v>44284</v>
      </c>
      <c r="K274" s="36"/>
      <c r="L274" s="36">
        <v>44712</v>
      </c>
      <c r="M274" s="37" t="s">
        <v>153</v>
      </c>
      <c r="N274" s="37" t="s">
        <v>1193</v>
      </c>
      <c r="O274" s="37" t="s">
        <v>1194</v>
      </c>
      <c r="P274" s="37" t="s">
        <v>711</v>
      </c>
      <c r="Q274" s="37" t="s">
        <v>209</v>
      </c>
      <c r="R274" s="36">
        <v>40227</v>
      </c>
      <c r="S274" s="37"/>
      <c r="T274" s="36"/>
      <c r="U274" s="37"/>
      <c r="V274" s="36"/>
      <c r="W274" s="37"/>
      <c r="X274" s="36"/>
      <c r="Y274" s="37"/>
      <c r="Z274" s="37"/>
      <c r="AA274" s="37"/>
      <c r="AB274" s="37"/>
      <c r="AC274" s="39">
        <v>145</v>
      </c>
      <c r="AD274" s="37" t="str">
        <f t="shared" si="14"/>
        <v>12년 1개월</v>
      </c>
      <c r="AE274" s="39">
        <f ca="1">(재직자!$AL$1-J274)/30</f>
        <v>61</v>
      </c>
      <c r="AF274" s="37" t="str">
        <f t="shared" ca="1" si="15"/>
        <v>5년 1개월</v>
      </c>
      <c r="AG274" s="39">
        <f t="shared" ca="1" si="16"/>
        <v>206</v>
      </c>
      <c r="AH274" s="39" t="str">
        <f t="shared" ca="1" si="17"/>
        <v>17년 2개월</v>
      </c>
      <c r="AI274" s="44" t="s">
        <v>2387</v>
      </c>
      <c r="AJ274" s="37" t="s">
        <v>2388</v>
      </c>
      <c r="AK274" s="50" t="s">
        <v>2389</v>
      </c>
      <c r="AL274" s="37"/>
      <c r="AM274" s="37" t="s">
        <v>2390</v>
      </c>
      <c r="AN274" s="54" t="s">
        <v>1241</v>
      </c>
      <c r="AO274" s="32"/>
      <c r="AP274" s="32" t="s">
        <v>2190</v>
      </c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</row>
    <row r="275" spans="1:54" ht="15" customHeight="1">
      <c r="A275" s="33" t="s">
        <v>49</v>
      </c>
      <c r="B275" s="33" t="s">
        <v>2391</v>
      </c>
      <c r="C275" s="33" t="s">
        <v>924</v>
      </c>
      <c r="D275" s="34" t="s">
        <v>2392</v>
      </c>
      <c r="E275" s="34" t="s">
        <v>34</v>
      </c>
      <c r="F275" s="38" t="s">
        <v>2393</v>
      </c>
      <c r="G275" s="80" t="s">
        <v>1685</v>
      </c>
      <c r="H275" s="34" t="s">
        <v>1221</v>
      </c>
      <c r="I275" s="35" t="s">
        <v>2394</v>
      </c>
      <c r="J275" s="36">
        <v>39574</v>
      </c>
      <c r="K275" s="36">
        <v>43891</v>
      </c>
      <c r="L275" s="36">
        <v>44712</v>
      </c>
      <c r="M275" s="37" t="s">
        <v>146</v>
      </c>
      <c r="N275" s="37" t="s">
        <v>263</v>
      </c>
      <c r="O275" s="38" t="s">
        <v>264</v>
      </c>
      <c r="P275" s="38"/>
      <c r="Q275" s="37" t="s">
        <v>265</v>
      </c>
      <c r="R275" s="36">
        <v>39493</v>
      </c>
      <c r="S275" s="37"/>
      <c r="T275" s="37"/>
      <c r="U275" s="37"/>
      <c r="V275" s="37"/>
      <c r="W275" s="37"/>
      <c r="X275" s="37"/>
      <c r="Y275" s="37" t="s">
        <v>210</v>
      </c>
      <c r="Z275" s="37"/>
      <c r="AA275" s="36">
        <v>40756</v>
      </c>
      <c r="AB275" s="37" t="s">
        <v>210</v>
      </c>
      <c r="AC275" s="39">
        <v>0</v>
      </c>
      <c r="AD275" s="37" t="str">
        <f t="shared" si="14"/>
        <v>0년 0개월</v>
      </c>
      <c r="AE275" s="39">
        <f ca="1">(재직자!$AL$1-J275)/30</f>
        <v>218</v>
      </c>
      <c r="AF275" s="39" t="str">
        <f t="shared" ca="1" si="15"/>
        <v>18년 2개월</v>
      </c>
      <c r="AG275" s="39">
        <f t="shared" ca="1" si="16"/>
        <v>218</v>
      </c>
      <c r="AH275" s="39" t="str">
        <f t="shared" ca="1" si="17"/>
        <v>18년 2개월</v>
      </c>
      <c r="AI275" s="43" t="s">
        <v>2395</v>
      </c>
      <c r="AJ275" s="33" t="s">
        <v>2396</v>
      </c>
      <c r="AK275" s="44" t="s">
        <v>2397</v>
      </c>
      <c r="AL275" s="37">
        <v>2646</v>
      </c>
      <c r="AM275" s="37" t="s">
        <v>2398</v>
      </c>
      <c r="AN275" s="54" t="s">
        <v>1266</v>
      </c>
      <c r="AO275" s="32"/>
      <c r="AP275" s="32" t="s">
        <v>2190</v>
      </c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</row>
    <row r="276" spans="1:54" ht="16.5" customHeight="1">
      <c r="A276" s="33" t="s">
        <v>2399</v>
      </c>
      <c r="B276" s="81" t="s">
        <v>2400</v>
      </c>
      <c r="C276" s="81" t="s">
        <v>2369</v>
      </c>
      <c r="D276" s="82" t="s">
        <v>2401</v>
      </c>
      <c r="E276" s="82" t="s">
        <v>139</v>
      </c>
      <c r="F276" s="34"/>
      <c r="G276" s="83" t="s">
        <v>2402</v>
      </c>
      <c r="H276" s="34"/>
      <c r="I276" s="84" t="s">
        <v>2403</v>
      </c>
      <c r="J276" s="85">
        <v>44719</v>
      </c>
      <c r="K276" s="36"/>
      <c r="L276" s="85">
        <v>44726</v>
      </c>
      <c r="M276" s="86" t="s">
        <v>153</v>
      </c>
      <c r="N276" s="86" t="s">
        <v>318</v>
      </c>
      <c r="O276" s="87" t="s">
        <v>1617</v>
      </c>
      <c r="P276" s="87" t="s">
        <v>711</v>
      </c>
      <c r="Q276" s="86" t="s">
        <v>209</v>
      </c>
      <c r="R276" s="85">
        <v>34747</v>
      </c>
      <c r="S276" s="37"/>
      <c r="T276" s="36"/>
      <c r="U276" s="37"/>
      <c r="V276" s="36"/>
      <c r="W276" s="37"/>
      <c r="X276" s="36"/>
      <c r="Y276" s="37"/>
      <c r="Z276" s="37"/>
      <c r="AA276" s="36"/>
      <c r="AB276" s="37"/>
      <c r="AC276" s="39">
        <f>8.1+3.3+16+48.1+7.3+182.6+8.7+9.2+30.7+8.1</f>
        <v>322.09999999999997</v>
      </c>
      <c r="AD276" s="38" t="str">
        <f t="shared" si="14"/>
        <v>26년 10개월</v>
      </c>
      <c r="AE276" s="39">
        <f ca="1">(재직자!$AL$1-J276)/30</f>
        <v>46.5</v>
      </c>
      <c r="AF276" s="39" t="str">
        <f t="shared" ca="1" si="15"/>
        <v>3년 10개월</v>
      </c>
      <c r="AG276" s="39">
        <f t="shared" ca="1" si="16"/>
        <v>368.59999999999997</v>
      </c>
      <c r="AH276" s="39" t="str">
        <f t="shared" ca="1" si="17"/>
        <v>30년 8개월</v>
      </c>
      <c r="AI276" s="88" t="s">
        <v>2404</v>
      </c>
      <c r="AJ276" s="81" t="s">
        <v>2405</v>
      </c>
      <c r="AK276" s="89" t="s">
        <v>2406</v>
      </c>
      <c r="AL276" s="67"/>
      <c r="AM276" s="86" t="s">
        <v>2407</v>
      </c>
      <c r="AN276" s="54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</row>
    <row r="277" spans="1:54" ht="16.5" customHeight="1">
      <c r="A277" s="33" t="s">
        <v>2164</v>
      </c>
      <c r="B277" s="37">
        <v>210701</v>
      </c>
      <c r="C277" s="33" t="s">
        <v>193</v>
      </c>
      <c r="D277" s="37" t="s">
        <v>2408</v>
      </c>
      <c r="E277" s="37" t="s">
        <v>88</v>
      </c>
      <c r="F277" s="38"/>
      <c r="G277" s="80" t="s">
        <v>52</v>
      </c>
      <c r="H277" s="34"/>
      <c r="I277" s="37" t="s">
        <v>2409</v>
      </c>
      <c r="J277" s="36">
        <v>44378</v>
      </c>
      <c r="K277" s="36"/>
      <c r="L277" s="36"/>
      <c r="M277" s="37" t="s">
        <v>153</v>
      </c>
      <c r="N277" s="37" t="s">
        <v>2410</v>
      </c>
      <c r="O277" s="37" t="s">
        <v>2411</v>
      </c>
      <c r="P277" s="37" t="s">
        <v>2412</v>
      </c>
      <c r="Q277" s="37" t="s">
        <v>209</v>
      </c>
      <c r="R277" s="36">
        <v>41138</v>
      </c>
      <c r="S277" s="37"/>
      <c r="T277" s="36"/>
      <c r="U277" s="37"/>
      <c r="V277" s="36"/>
      <c r="W277" s="37"/>
      <c r="X277" s="36"/>
      <c r="Y277" s="37"/>
      <c r="Z277" s="37"/>
      <c r="AA277" s="37"/>
      <c r="AB277" s="37"/>
      <c r="AC277" s="39">
        <v>98</v>
      </c>
      <c r="AD277" s="37" t="str">
        <f t="shared" si="14"/>
        <v>8년 2개월</v>
      </c>
      <c r="AE277" s="39">
        <f ca="1">(재직자!$AL$1-J277)/30</f>
        <v>57.866666666666667</v>
      </c>
      <c r="AF277" s="37" t="str">
        <f t="shared" ca="1" si="15"/>
        <v>4년 9개월</v>
      </c>
      <c r="AG277" s="39">
        <f t="shared" ca="1" si="16"/>
        <v>155.86666666666667</v>
      </c>
      <c r="AH277" s="39" t="str">
        <f t="shared" ca="1" si="17"/>
        <v>12년 11개월</v>
      </c>
      <c r="AI277" s="44" t="s">
        <v>2413</v>
      </c>
      <c r="AJ277" s="37" t="s">
        <v>2414</v>
      </c>
      <c r="AK277" s="50" t="s">
        <v>2415</v>
      </c>
      <c r="AL277" s="37"/>
      <c r="AM277" s="37" t="s">
        <v>2416</v>
      </c>
      <c r="AN277" s="54" t="s">
        <v>2200</v>
      </c>
      <c r="AO277" s="32"/>
      <c r="AP277" s="32" t="s">
        <v>2190</v>
      </c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</row>
    <row r="278" spans="1:54" ht="16.5" customHeight="1">
      <c r="A278" s="33" t="s">
        <v>2273</v>
      </c>
      <c r="B278" s="37">
        <v>220205</v>
      </c>
      <c r="C278" s="33" t="s">
        <v>193</v>
      </c>
      <c r="D278" s="37" t="s">
        <v>2417</v>
      </c>
      <c r="E278" s="37" t="s">
        <v>51</v>
      </c>
      <c r="F278" s="38"/>
      <c r="G278" s="80" t="s">
        <v>2418</v>
      </c>
      <c r="H278" s="34"/>
      <c r="I278" s="37" t="s">
        <v>2419</v>
      </c>
      <c r="J278" s="36">
        <v>44606</v>
      </c>
      <c r="K278" s="36"/>
      <c r="L278" s="36"/>
      <c r="M278" s="37" t="s">
        <v>153</v>
      </c>
      <c r="N278" s="37" t="s">
        <v>2276</v>
      </c>
      <c r="O278" s="37" t="s">
        <v>2420</v>
      </c>
      <c r="P278" s="37" t="s">
        <v>2412</v>
      </c>
      <c r="Q278" s="37" t="s">
        <v>209</v>
      </c>
      <c r="R278" s="36">
        <v>44246</v>
      </c>
      <c r="S278" s="37"/>
      <c r="T278" s="36"/>
      <c r="U278" s="37"/>
      <c r="V278" s="36"/>
      <c r="W278" s="37"/>
      <c r="X278" s="36"/>
      <c r="Y278" s="37"/>
      <c r="Z278" s="37"/>
      <c r="AA278" s="37"/>
      <c r="AB278" s="37"/>
      <c r="AC278" s="39"/>
      <c r="AD278" s="37" t="str">
        <f t="shared" si="14"/>
        <v>0년 0개월</v>
      </c>
      <c r="AE278" s="39">
        <f ca="1">(재직자!$AL$1-J278)/30</f>
        <v>50.266666666666666</v>
      </c>
      <c r="AF278" s="37" t="str">
        <f t="shared" ca="1" si="15"/>
        <v>4년 2개월</v>
      </c>
      <c r="AG278" s="39">
        <f t="shared" ca="1" si="16"/>
        <v>50.266666666666666</v>
      </c>
      <c r="AH278" s="39" t="str">
        <f t="shared" ca="1" si="17"/>
        <v>4년 2개월</v>
      </c>
      <c r="AI278" s="44" t="s">
        <v>2421</v>
      </c>
      <c r="AJ278" s="37" t="s">
        <v>2422</v>
      </c>
      <c r="AK278" s="50" t="s">
        <v>2423</v>
      </c>
      <c r="AL278" s="37"/>
      <c r="AM278" s="37" t="s">
        <v>2424</v>
      </c>
      <c r="AN278" s="54" t="s">
        <v>1591</v>
      </c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</row>
    <row r="279" spans="1:54" ht="15.75" customHeight="1">
      <c r="A279" s="81" t="s">
        <v>2399</v>
      </c>
      <c r="B279" s="81" t="s">
        <v>2400</v>
      </c>
      <c r="C279" s="81" t="s">
        <v>2425</v>
      </c>
      <c r="D279" s="82" t="s">
        <v>2426</v>
      </c>
      <c r="E279" s="82" t="s">
        <v>228</v>
      </c>
      <c r="F279" s="34"/>
      <c r="G279" s="83" t="s">
        <v>2427</v>
      </c>
      <c r="H279" s="82" t="s">
        <v>2428</v>
      </c>
      <c r="I279" s="84" t="s">
        <v>2429</v>
      </c>
      <c r="J279" s="85">
        <v>44725</v>
      </c>
      <c r="K279" s="36"/>
      <c r="L279" s="36"/>
      <c r="M279" s="86" t="s">
        <v>153</v>
      </c>
      <c r="N279" s="86" t="s">
        <v>2090</v>
      </c>
      <c r="O279" s="87" t="s">
        <v>2430</v>
      </c>
      <c r="P279" s="87" t="s">
        <v>1794</v>
      </c>
      <c r="Q279" s="86" t="s">
        <v>209</v>
      </c>
      <c r="R279" s="85">
        <v>37293</v>
      </c>
      <c r="S279" s="37"/>
      <c r="T279" s="36"/>
      <c r="U279" s="37"/>
      <c r="V279" s="36"/>
      <c r="W279" s="37"/>
      <c r="X279" s="36"/>
      <c r="Y279" s="86" t="s">
        <v>199</v>
      </c>
      <c r="Z279" s="37"/>
      <c r="AA279" s="36"/>
      <c r="AB279" s="37"/>
      <c r="AC279" s="39">
        <f>33.5+3.7+5.1+4.1+107.6+8.1+18.3</f>
        <v>180.4</v>
      </c>
      <c r="AD279" s="38" t="str">
        <f t="shared" si="14"/>
        <v>15년 0개월</v>
      </c>
      <c r="AE279" s="39">
        <f ca="1">(재직자!$AL$1-J279)/30</f>
        <v>46.3</v>
      </c>
      <c r="AF279" s="39" t="str">
        <f t="shared" ca="1" si="15"/>
        <v>3년 10개월</v>
      </c>
      <c r="AG279" s="39">
        <f t="shared" ca="1" si="16"/>
        <v>226.7</v>
      </c>
      <c r="AH279" s="39" t="str">
        <f t="shared" ca="1" si="17"/>
        <v>18년 10개월</v>
      </c>
      <c r="AI279" s="88" t="s">
        <v>2431</v>
      </c>
      <c r="AJ279" s="81" t="s">
        <v>2432</v>
      </c>
      <c r="AK279" s="89" t="s">
        <v>2433</v>
      </c>
      <c r="AL279" s="90"/>
      <c r="AM279" s="86" t="s">
        <v>2434</v>
      </c>
      <c r="AN279" s="54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</row>
    <row r="280" spans="1:54" ht="16.5" customHeight="1">
      <c r="A280" s="33" t="s">
        <v>141</v>
      </c>
      <c r="B280" s="33" t="s">
        <v>2435</v>
      </c>
      <c r="C280" s="33" t="s">
        <v>193</v>
      </c>
      <c r="D280" s="34" t="s">
        <v>2436</v>
      </c>
      <c r="E280" s="34" t="s">
        <v>88</v>
      </c>
      <c r="F280" s="34" t="s">
        <v>2437</v>
      </c>
      <c r="G280" s="80" t="s">
        <v>1685</v>
      </c>
      <c r="H280" s="37"/>
      <c r="I280" s="35" t="s">
        <v>2438</v>
      </c>
      <c r="J280" s="36">
        <v>42450</v>
      </c>
      <c r="K280" s="36">
        <v>43891</v>
      </c>
      <c r="L280" s="36"/>
      <c r="M280" s="37" t="s">
        <v>153</v>
      </c>
      <c r="N280" s="37" t="s">
        <v>731</v>
      </c>
      <c r="O280" s="38" t="s">
        <v>457</v>
      </c>
      <c r="P280" s="38"/>
      <c r="Q280" s="37" t="s">
        <v>209</v>
      </c>
      <c r="R280" s="36">
        <v>42244</v>
      </c>
      <c r="S280" s="37" t="s">
        <v>275</v>
      </c>
      <c r="T280" s="36">
        <v>42135</v>
      </c>
      <c r="U280" s="37"/>
      <c r="V280" s="37"/>
      <c r="W280" s="37"/>
      <c r="X280" s="37"/>
      <c r="Y280" s="37" t="s">
        <v>276</v>
      </c>
      <c r="Z280" s="37"/>
      <c r="AA280" s="36"/>
      <c r="AB280" s="37"/>
      <c r="AC280" s="39">
        <v>61</v>
      </c>
      <c r="AD280" s="38" t="str">
        <f t="shared" si="14"/>
        <v>5년 1개월</v>
      </c>
      <c r="AE280" s="39">
        <f ca="1">(재직자!$AL$1-J280)/30</f>
        <v>122.13333333333334</v>
      </c>
      <c r="AF280" s="39" t="str">
        <f t="shared" ca="1" si="15"/>
        <v>10년 2개월</v>
      </c>
      <c r="AG280" s="39">
        <f t="shared" ca="1" si="16"/>
        <v>183.13333333333333</v>
      </c>
      <c r="AH280" s="39" t="str">
        <f t="shared" ca="1" si="17"/>
        <v>15년 3개월</v>
      </c>
      <c r="AI280" s="43" t="s">
        <v>2439</v>
      </c>
      <c r="AJ280" s="33" t="s">
        <v>2440</v>
      </c>
      <c r="AK280" s="62" t="s">
        <v>2441</v>
      </c>
      <c r="AL280" s="37"/>
      <c r="AM280" s="37" t="s">
        <v>2442</v>
      </c>
      <c r="AN280" s="54" t="s">
        <v>2443</v>
      </c>
      <c r="AO280" s="32"/>
      <c r="AP280" s="32" t="s">
        <v>2190</v>
      </c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</row>
    <row r="281" spans="1:54" ht="15.75" customHeight="1">
      <c r="A281" s="33" t="s">
        <v>2444</v>
      </c>
      <c r="B281" s="33"/>
      <c r="C281" s="81" t="s">
        <v>193</v>
      </c>
      <c r="D281" s="82" t="s">
        <v>2445</v>
      </c>
      <c r="E281" s="82" t="s">
        <v>51</v>
      </c>
      <c r="F281" s="34"/>
      <c r="G281" s="83" t="s">
        <v>2427</v>
      </c>
      <c r="H281" s="82" t="s">
        <v>2428</v>
      </c>
      <c r="I281" s="84" t="s">
        <v>2446</v>
      </c>
      <c r="J281" s="85">
        <v>44749</v>
      </c>
      <c r="K281" s="36"/>
      <c r="L281" s="36"/>
      <c r="M281" s="86" t="s">
        <v>153</v>
      </c>
      <c r="N281" s="86" t="s">
        <v>616</v>
      </c>
      <c r="O281" s="87" t="s">
        <v>2447</v>
      </c>
      <c r="P281" s="87" t="s">
        <v>763</v>
      </c>
      <c r="Q281" s="86" t="s">
        <v>209</v>
      </c>
      <c r="R281" s="85">
        <v>44250</v>
      </c>
      <c r="S281" s="86" t="s">
        <v>275</v>
      </c>
      <c r="T281" s="85">
        <v>44196</v>
      </c>
      <c r="U281" s="37"/>
      <c r="V281" s="36"/>
      <c r="W281" s="37"/>
      <c r="X281" s="36"/>
      <c r="Y281" s="37"/>
      <c r="Z281" s="37"/>
      <c r="AA281" s="36"/>
      <c r="AB281" s="37"/>
      <c r="AC281" s="91">
        <v>16</v>
      </c>
      <c r="AD281" s="38" t="str">
        <f t="shared" si="14"/>
        <v>1년 4개월</v>
      </c>
      <c r="AE281" s="39">
        <f ca="1">(재직자!$AL$1-J281)/30</f>
        <v>45.5</v>
      </c>
      <c r="AF281" s="39" t="str">
        <f t="shared" ca="1" si="15"/>
        <v>3년 9개월</v>
      </c>
      <c r="AG281" s="39">
        <f t="shared" ca="1" si="16"/>
        <v>61.5</v>
      </c>
      <c r="AH281" s="39" t="str">
        <f t="shared" ca="1" si="17"/>
        <v>5년 1개월</v>
      </c>
      <c r="AI281" s="88" t="s">
        <v>2448</v>
      </c>
      <c r="AJ281" s="81" t="s">
        <v>2449</v>
      </c>
      <c r="AK281" s="92"/>
      <c r="AL281" s="90"/>
      <c r="AM281" s="86" t="s">
        <v>2450</v>
      </c>
      <c r="AN281" s="54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</row>
    <row r="282" spans="1:54" ht="15.75" customHeight="1">
      <c r="A282" s="33" t="s">
        <v>2451</v>
      </c>
      <c r="B282" s="81" t="s">
        <v>2452</v>
      </c>
      <c r="C282" s="33" t="s">
        <v>193</v>
      </c>
      <c r="D282" s="34" t="s">
        <v>2453</v>
      </c>
      <c r="E282" s="34" t="s">
        <v>51</v>
      </c>
      <c r="F282" s="34"/>
      <c r="G282" s="80" t="s">
        <v>2418</v>
      </c>
      <c r="H282" s="34" t="s">
        <v>2428</v>
      </c>
      <c r="I282" s="35">
        <v>9808271168018</v>
      </c>
      <c r="J282" s="36">
        <v>44711</v>
      </c>
      <c r="K282" s="36"/>
      <c r="L282" s="36"/>
      <c r="M282" s="37" t="s">
        <v>448</v>
      </c>
      <c r="N282" s="37" t="s">
        <v>2454</v>
      </c>
      <c r="O282" s="87" t="s">
        <v>2455</v>
      </c>
      <c r="P282" s="38" t="s">
        <v>964</v>
      </c>
      <c r="Q282" s="37" t="s">
        <v>448</v>
      </c>
      <c r="R282" s="36">
        <v>42794</v>
      </c>
      <c r="S282" s="86" t="s">
        <v>1994</v>
      </c>
      <c r="T282" s="85">
        <v>43455</v>
      </c>
      <c r="U282" s="37"/>
      <c r="V282" s="36"/>
      <c r="W282" s="37"/>
      <c r="X282" s="36"/>
      <c r="Y282" s="37"/>
      <c r="Z282" s="37"/>
      <c r="AA282" s="36"/>
      <c r="AB282" s="37"/>
      <c r="AC282" s="39">
        <v>19</v>
      </c>
      <c r="AD282" s="38" t="str">
        <f t="shared" si="14"/>
        <v>1년 7개월</v>
      </c>
      <c r="AE282" s="39">
        <f ca="1">(재직자!$AL$1-J282)/30</f>
        <v>46.766666666666666</v>
      </c>
      <c r="AF282" s="39" t="str">
        <f t="shared" ca="1" si="15"/>
        <v>3년 10개월</v>
      </c>
      <c r="AG282" s="39">
        <f t="shared" ca="1" si="16"/>
        <v>65.766666666666666</v>
      </c>
      <c r="AH282" s="39" t="str">
        <f t="shared" ca="1" si="17"/>
        <v>5년 5개월</v>
      </c>
      <c r="AI282" s="43" t="s">
        <v>2456</v>
      </c>
      <c r="AJ282" s="33" t="s">
        <v>2457</v>
      </c>
      <c r="AK282" s="89" t="s">
        <v>2458</v>
      </c>
      <c r="AL282" s="90"/>
      <c r="AM282" s="86" t="s">
        <v>2459</v>
      </c>
      <c r="AN282" s="54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</row>
    <row r="283" spans="1:54" ht="15.75" customHeight="1">
      <c r="A283" s="33" t="s">
        <v>2460</v>
      </c>
      <c r="B283" s="81" t="s">
        <v>2461</v>
      </c>
      <c r="C283" s="81" t="s">
        <v>193</v>
      </c>
      <c r="D283" s="82" t="s">
        <v>2462</v>
      </c>
      <c r="E283" s="82" t="s">
        <v>44</v>
      </c>
      <c r="F283" s="34"/>
      <c r="G283" s="83" t="s">
        <v>2463</v>
      </c>
      <c r="H283" s="93" t="s">
        <v>2464</v>
      </c>
      <c r="I283" s="84" t="s">
        <v>2465</v>
      </c>
      <c r="J283" s="85">
        <v>44753</v>
      </c>
      <c r="K283" s="36"/>
      <c r="L283" s="36"/>
      <c r="M283" s="86" t="s">
        <v>153</v>
      </c>
      <c r="N283" s="86" t="s">
        <v>1092</v>
      </c>
      <c r="O283" s="87" t="s">
        <v>319</v>
      </c>
      <c r="P283" s="87" t="s">
        <v>711</v>
      </c>
      <c r="Q283" s="86" t="s">
        <v>209</v>
      </c>
      <c r="R283" s="85">
        <v>43155</v>
      </c>
      <c r="S283" s="86" t="s">
        <v>275</v>
      </c>
      <c r="T283" s="85">
        <v>43325</v>
      </c>
      <c r="U283" s="37"/>
      <c r="V283" s="36"/>
      <c r="W283" s="37"/>
      <c r="X283" s="36"/>
      <c r="Y283" s="37"/>
      <c r="Z283" s="37"/>
      <c r="AA283" s="36"/>
      <c r="AB283" s="37"/>
      <c r="AC283" s="91">
        <v>42</v>
      </c>
      <c r="AD283" s="38" t="str">
        <f t="shared" si="14"/>
        <v>3년 6개월</v>
      </c>
      <c r="AE283" s="39">
        <f ca="1">($AK$1-J283)/30</f>
        <v>45.366666666666667</v>
      </c>
      <c r="AF283" s="39" t="str">
        <f t="shared" ca="1" si="15"/>
        <v>3년 9개월</v>
      </c>
      <c r="AG283" s="39">
        <f t="shared" ca="1" si="16"/>
        <v>87.366666666666674</v>
      </c>
      <c r="AH283" s="39" t="str">
        <f t="shared" ca="1" si="17"/>
        <v>7년 3개월</v>
      </c>
      <c r="AI283" s="88" t="s">
        <v>2466</v>
      </c>
      <c r="AJ283" s="81" t="s">
        <v>2467</v>
      </c>
      <c r="AK283" s="89" t="s">
        <v>2468</v>
      </c>
      <c r="AL283" s="90"/>
      <c r="AM283" s="86" t="s">
        <v>2469</v>
      </c>
      <c r="AN283" s="54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</row>
    <row r="284" spans="1:54" ht="16.5" customHeight="1">
      <c r="A284" s="33" t="s">
        <v>2470</v>
      </c>
      <c r="B284" s="81" t="s">
        <v>2471</v>
      </c>
      <c r="C284" s="33" t="s">
        <v>193</v>
      </c>
      <c r="D284" s="34" t="s">
        <v>2472</v>
      </c>
      <c r="E284" s="34" t="s">
        <v>44</v>
      </c>
      <c r="F284" s="34"/>
      <c r="G284" s="80" t="s">
        <v>2418</v>
      </c>
      <c r="H284" s="34" t="s">
        <v>2428</v>
      </c>
      <c r="I284" s="35" t="s">
        <v>2473</v>
      </c>
      <c r="J284" s="36">
        <v>44690</v>
      </c>
      <c r="K284" s="36"/>
      <c r="L284" s="36"/>
      <c r="M284" s="37" t="s">
        <v>153</v>
      </c>
      <c r="N284" s="37" t="s">
        <v>2474</v>
      </c>
      <c r="O284" s="38" t="s">
        <v>617</v>
      </c>
      <c r="P284" s="38" t="s">
        <v>1073</v>
      </c>
      <c r="Q284" s="37" t="s">
        <v>209</v>
      </c>
      <c r="R284" s="36">
        <v>43153</v>
      </c>
      <c r="S284" s="37"/>
      <c r="T284" s="36"/>
      <c r="U284" s="37"/>
      <c r="V284" s="36"/>
      <c r="W284" s="37"/>
      <c r="X284" s="36"/>
      <c r="Y284" s="37"/>
      <c r="Z284" s="37"/>
      <c r="AA284" s="36"/>
      <c r="AB284" s="37"/>
      <c r="AC284" s="39">
        <v>46</v>
      </c>
      <c r="AD284" s="38" t="str">
        <f t="shared" si="14"/>
        <v>3년 10개월</v>
      </c>
      <c r="AE284" s="39">
        <f ca="1">($AK$1-J284)/30</f>
        <v>47.466666666666669</v>
      </c>
      <c r="AF284" s="39" t="str">
        <f t="shared" ca="1" si="15"/>
        <v>3년 11개월</v>
      </c>
      <c r="AG284" s="39">
        <f t="shared" ca="1" si="16"/>
        <v>93.466666666666669</v>
      </c>
      <c r="AH284" s="39" t="str">
        <f t="shared" ca="1" si="17"/>
        <v>7년 9개월</v>
      </c>
      <c r="AI284" s="43" t="s">
        <v>2475</v>
      </c>
      <c r="AJ284" s="33" t="s">
        <v>2476</v>
      </c>
      <c r="AK284" s="89" t="s">
        <v>2477</v>
      </c>
      <c r="AL284" s="90"/>
      <c r="AM284" s="37" t="s">
        <v>2478</v>
      </c>
      <c r="AN284" s="54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</row>
    <row r="285" spans="1:54" ht="16.5" customHeight="1">
      <c r="A285" s="33" t="s">
        <v>2479</v>
      </c>
      <c r="B285" s="37">
        <v>220101</v>
      </c>
      <c r="C285" s="33" t="s">
        <v>2369</v>
      </c>
      <c r="D285" s="37" t="s">
        <v>2480</v>
      </c>
      <c r="E285" s="37" t="s">
        <v>139</v>
      </c>
      <c r="F285" s="38"/>
      <c r="G285" s="80" t="s">
        <v>120</v>
      </c>
      <c r="H285" s="34"/>
      <c r="I285" s="37" t="s">
        <v>2481</v>
      </c>
      <c r="J285" s="36">
        <v>44564</v>
      </c>
      <c r="K285" s="36"/>
      <c r="L285" s="36"/>
      <c r="M285" s="37" t="s">
        <v>153</v>
      </c>
      <c r="N285" s="37" t="s">
        <v>883</v>
      </c>
      <c r="O285" s="37" t="s">
        <v>2482</v>
      </c>
      <c r="P285" s="37" t="s">
        <v>1433</v>
      </c>
      <c r="Q285" s="37" t="s">
        <v>209</v>
      </c>
      <c r="R285" s="36">
        <v>35481</v>
      </c>
      <c r="S285" s="37"/>
      <c r="T285" s="36"/>
      <c r="U285" s="37"/>
      <c r="V285" s="36"/>
      <c r="W285" s="37"/>
      <c r="X285" s="36"/>
      <c r="Y285" s="37"/>
      <c r="Z285" s="37"/>
      <c r="AA285" s="37"/>
      <c r="AB285" s="37"/>
      <c r="AC285" s="39">
        <v>301</v>
      </c>
      <c r="AD285" s="37" t="str">
        <f t="shared" si="14"/>
        <v>25년 1개월</v>
      </c>
      <c r="AE285" s="39">
        <f ca="1">($AK$1-J285)/30</f>
        <v>51.666666666666664</v>
      </c>
      <c r="AF285" s="37" t="str">
        <f t="shared" ca="1" si="15"/>
        <v>4년 3개월</v>
      </c>
      <c r="AG285" s="39">
        <f t="shared" ca="1" si="16"/>
        <v>352.66666666666669</v>
      </c>
      <c r="AH285" s="39" t="str">
        <f t="shared" ca="1" si="17"/>
        <v>29년 4개월</v>
      </c>
      <c r="AI285" s="44" t="s">
        <v>2483</v>
      </c>
      <c r="AJ285" s="37" t="s">
        <v>2484</v>
      </c>
      <c r="AK285" s="94" t="s">
        <v>2485</v>
      </c>
      <c r="AL285" s="37"/>
      <c r="AM285" s="37" t="s">
        <v>2486</v>
      </c>
      <c r="AN285" s="54" t="s">
        <v>2487</v>
      </c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</row>
    <row r="286" spans="1:54" ht="16.5" customHeight="1">
      <c r="A286" s="33" t="s">
        <v>987</v>
      </c>
      <c r="B286" s="37">
        <v>210506</v>
      </c>
      <c r="C286" s="33" t="s">
        <v>2051</v>
      </c>
      <c r="D286" s="37" t="s">
        <v>2488</v>
      </c>
      <c r="E286" s="37" t="s">
        <v>228</v>
      </c>
      <c r="F286" s="38"/>
      <c r="G286" s="80" t="s">
        <v>2418</v>
      </c>
      <c r="H286" s="34"/>
      <c r="I286" s="37" t="s">
        <v>2489</v>
      </c>
      <c r="J286" s="36">
        <v>44340</v>
      </c>
      <c r="K286" s="36"/>
      <c r="L286" s="36"/>
      <c r="M286" s="37" t="s">
        <v>153</v>
      </c>
      <c r="N286" s="37" t="s">
        <v>982</v>
      </c>
      <c r="O286" s="37" t="s">
        <v>1133</v>
      </c>
      <c r="P286" s="37" t="s">
        <v>711</v>
      </c>
      <c r="Q286" s="37" t="s">
        <v>209</v>
      </c>
      <c r="R286" s="36">
        <v>36210</v>
      </c>
      <c r="S286" s="37" t="s">
        <v>275</v>
      </c>
      <c r="T286" s="36">
        <v>36081</v>
      </c>
      <c r="U286" s="37"/>
      <c r="V286" s="36"/>
      <c r="W286" s="37"/>
      <c r="X286" s="36"/>
      <c r="Y286" s="37"/>
      <c r="Z286" s="37"/>
      <c r="AA286" s="37"/>
      <c r="AB286" s="37"/>
      <c r="AC286" s="39">
        <v>248</v>
      </c>
      <c r="AD286" s="37" t="str">
        <f t="shared" si="14"/>
        <v>20년 8개월</v>
      </c>
      <c r="AE286" s="39">
        <f ca="1">($AK$1-J286)/30</f>
        <v>59.133333333333333</v>
      </c>
      <c r="AF286" s="37" t="str">
        <f t="shared" ca="1" si="15"/>
        <v>4년 11개월</v>
      </c>
      <c r="AG286" s="39">
        <f t="shared" ca="1" si="16"/>
        <v>307.13333333333333</v>
      </c>
      <c r="AH286" s="39" t="str">
        <f t="shared" ca="1" si="17"/>
        <v>25년 7개월</v>
      </c>
      <c r="AI286" s="44" t="s">
        <v>2490</v>
      </c>
      <c r="AJ286" s="37" t="s">
        <v>2491</v>
      </c>
      <c r="AK286" s="50" t="s">
        <v>2492</v>
      </c>
      <c r="AL286" s="37"/>
      <c r="AM286" s="37" t="s">
        <v>2493</v>
      </c>
      <c r="AN286" s="54" t="s">
        <v>1351</v>
      </c>
      <c r="AO286" s="32"/>
      <c r="AP286" s="32" t="s">
        <v>2190</v>
      </c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</row>
    <row r="287" spans="1:54" ht="15" customHeight="1">
      <c r="A287" s="33" t="s">
        <v>66</v>
      </c>
      <c r="B287" s="33" t="s">
        <v>2494</v>
      </c>
      <c r="C287" s="33" t="s">
        <v>193</v>
      </c>
      <c r="D287" s="34" t="s">
        <v>2495</v>
      </c>
      <c r="E287" s="34" t="s">
        <v>228</v>
      </c>
      <c r="F287" s="38" t="s">
        <v>2496</v>
      </c>
      <c r="G287" s="80" t="s">
        <v>1644</v>
      </c>
      <c r="H287" s="37"/>
      <c r="I287" s="35" t="s">
        <v>2497</v>
      </c>
      <c r="J287" s="36">
        <v>40434</v>
      </c>
      <c r="K287" s="36">
        <v>44228</v>
      </c>
      <c r="L287" s="36"/>
      <c r="M287" s="37" t="s">
        <v>153</v>
      </c>
      <c r="N287" s="37" t="s">
        <v>1213</v>
      </c>
      <c r="O287" s="38" t="s">
        <v>552</v>
      </c>
      <c r="P287" s="38"/>
      <c r="Q287" s="37" t="s">
        <v>209</v>
      </c>
      <c r="R287" s="36">
        <v>36578</v>
      </c>
      <c r="S287" s="37" t="s">
        <v>2498</v>
      </c>
      <c r="T287" s="36">
        <v>35947</v>
      </c>
      <c r="U287" s="37"/>
      <c r="V287" s="36"/>
      <c r="W287" s="37"/>
      <c r="X287" s="37"/>
      <c r="Y287" s="37" t="s">
        <v>199</v>
      </c>
      <c r="Z287" s="37" t="s">
        <v>211</v>
      </c>
      <c r="AA287" s="36">
        <v>40977</v>
      </c>
      <c r="AB287" s="37" t="s">
        <v>199</v>
      </c>
      <c r="AC287" s="39">
        <v>132</v>
      </c>
      <c r="AD287" s="38" t="str">
        <f t="shared" si="14"/>
        <v>11년 0개월</v>
      </c>
      <c r="AE287" s="39">
        <f ca="1">(재직자!$AL$1-J287)/30</f>
        <v>189.33333333333334</v>
      </c>
      <c r="AF287" s="39" t="str">
        <f t="shared" ca="1" si="15"/>
        <v>15년 9개월</v>
      </c>
      <c r="AG287" s="39">
        <f t="shared" ca="1" si="16"/>
        <v>321.33333333333337</v>
      </c>
      <c r="AH287" s="39" t="str">
        <f t="shared" ca="1" si="17"/>
        <v>26년 9개월</v>
      </c>
      <c r="AI287" s="66" t="s">
        <v>2499</v>
      </c>
      <c r="AJ287" s="33" t="s">
        <v>2500</v>
      </c>
      <c r="AK287" s="44" t="s">
        <v>2501</v>
      </c>
      <c r="AL287" s="37">
        <v>2624</v>
      </c>
      <c r="AM287" s="37" t="s">
        <v>2502</v>
      </c>
      <c r="AN287" s="54" t="s">
        <v>2503</v>
      </c>
      <c r="AO287" s="32"/>
      <c r="AP287" s="32" t="s">
        <v>2190</v>
      </c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</row>
    <row r="288" spans="1:54" ht="16.5" customHeight="1">
      <c r="A288" s="33" t="s">
        <v>728</v>
      </c>
      <c r="B288" s="68">
        <v>210302</v>
      </c>
      <c r="C288" s="95" t="s">
        <v>511</v>
      </c>
      <c r="D288" s="68" t="s">
        <v>2504</v>
      </c>
      <c r="E288" s="68" t="s">
        <v>228</v>
      </c>
      <c r="F288" s="69"/>
      <c r="G288" s="80" t="s">
        <v>2418</v>
      </c>
      <c r="H288" s="70"/>
      <c r="I288" s="68" t="s">
        <v>2505</v>
      </c>
      <c r="J288" s="71">
        <v>44257</v>
      </c>
      <c r="K288" s="71"/>
      <c r="L288" s="36"/>
      <c r="M288" s="68" t="s">
        <v>153</v>
      </c>
      <c r="N288" s="68" t="s">
        <v>2506</v>
      </c>
      <c r="O288" s="68" t="s">
        <v>607</v>
      </c>
      <c r="P288" s="68" t="s">
        <v>711</v>
      </c>
      <c r="Q288" s="68" t="s">
        <v>209</v>
      </c>
      <c r="R288" s="71">
        <v>35476</v>
      </c>
      <c r="S288" s="68"/>
      <c r="T288" s="71"/>
      <c r="U288" s="68"/>
      <c r="V288" s="71"/>
      <c r="W288" s="68"/>
      <c r="X288" s="71"/>
      <c r="Y288" s="68"/>
      <c r="Z288" s="68"/>
      <c r="AA288" s="68"/>
      <c r="AB288" s="68"/>
      <c r="AC288" s="72">
        <v>291</v>
      </c>
      <c r="AD288" s="68" t="str">
        <f t="shared" si="14"/>
        <v>24년 3개월</v>
      </c>
      <c r="AE288" s="72">
        <f ca="1">(재직자!$AL$1-J288)/30</f>
        <v>61.9</v>
      </c>
      <c r="AF288" s="68" t="str">
        <f t="shared" ca="1" si="15"/>
        <v>5년 1개월</v>
      </c>
      <c r="AG288" s="72">
        <f t="shared" ca="1" si="16"/>
        <v>352.9</v>
      </c>
      <c r="AH288" s="72" t="str">
        <f t="shared" ca="1" si="17"/>
        <v>29년 4개월</v>
      </c>
      <c r="AI288" s="73" t="s">
        <v>2507</v>
      </c>
      <c r="AJ288" s="68" t="s">
        <v>2508</v>
      </c>
      <c r="AK288" s="74" t="s">
        <v>2509</v>
      </c>
      <c r="AL288" s="68"/>
      <c r="AM288" s="37" t="s">
        <v>2510</v>
      </c>
      <c r="AN288" s="54" t="s">
        <v>2511</v>
      </c>
      <c r="AO288" s="32"/>
      <c r="AP288" s="32" t="s">
        <v>2190</v>
      </c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</row>
    <row r="289" spans="1:54" ht="15.75" customHeight="1">
      <c r="A289" s="33" t="s">
        <v>2512</v>
      </c>
      <c r="B289" s="37"/>
      <c r="C289" s="86" t="s">
        <v>2513</v>
      </c>
      <c r="D289" s="86" t="s">
        <v>2514</v>
      </c>
      <c r="E289" s="86" t="s">
        <v>88</v>
      </c>
      <c r="F289" s="37"/>
      <c r="G289" s="83" t="s">
        <v>2463</v>
      </c>
      <c r="H289" s="86" t="s">
        <v>635</v>
      </c>
      <c r="I289" s="86" t="s">
        <v>2515</v>
      </c>
      <c r="J289" s="85">
        <v>44830</v>
      </c>
      <c r="K289" s="36"/>
      <c r="L289" s="37"/>
      <c r="M289" s="86" t="s">
        <v>448</v>
      </c>
      <c r="N289" s="86" t="s">
        <v>2516</v>
      </c>
      <c r="O289" s="86" t="s">
        <v>2517</v>
      </c>
      <c r="P289" s="86" t="s">
        <v>964</v>
      </c>
      <c r="Q289" s="86" t="s">
        <v>448</v>
      </c>
      <c r="R289" s="85">
        <v>37618</v>
      </c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91">
        <v>186</v>
      </c>
      <c r="AD289" s="38" t="str">
        <f t="shared" si="14"/>
        <v>15년 6개월</v>
      </c>
      <c r="AE289" s="39">
        <f ca="1">(재직자!$AL$1-J289)/30</f>
        <v>42.8</v>
      </c>
      <c r="AF289" s="39" t="str">
        <f t="shared" ca="1" si="15"/>
        <v>3년 6개월</v>
      </c>
      <c r="AG289" s="39">
        <f t="shared" ca="1" si="16"/>
        <v>228.8</v>
      </c>
      <c r="AH289" s="39" t="str">
        <f t="shared" ca="1" si="17"/>
        <v>19년 0개월</v>
      </c>
      <c r="AI289" s="96" t="s">
        <v>2518</v>
      </c>
      <c r="AJ289" s="86" t="s">
        <v>2519</v>
      </c>
      <c r="AK289" s="44"/>
      <c r="AL289" s="37"/>
      <c r="AM289" s="86" t="s">
        <v>2520</v>
      </c>
      <c r="AN289" s="37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</row>
    <row r="290" spans="1:54" ht="16.5" customHeight="1">
      <c r="A290" s="33" t="s">
        <v>425</v>
      </c>
      <c r="B290" s="33" t="s">
        <v>2521</v>
      </c>
      <c r="C290" s="33" t="s">
        <v>2369</v>
      </c>
      <c r="D290" s="34" t="s">
        <v>2522</v>
      </c>
      <c r="E290" s="34" t="s">
        <v>34</v>
      </c>
      <c r="F290" s="34"/>
      <c r="G290" s="80" t="s">
        <v>120</v>
      </c>
      <c r="H290" s="34"/>
      <c r="I290" s="35" t="s">
        <v>2523</v>
      </c>
      <c r="J290" s="36">
        <v>43832</v>
      </c>
      <c r="K290" s="36"/>
      <c r="L290" s="36"/>
      <c r="M290" s="37" t="s">
        <v>153</v>
      </c>
      <c r="N290" s="37" t="s">
        <v>1032</v>
      </c>
      <c r="O290" s="38" t="s">
        <v>457</v>
      </c>
      <c r="P290" s="38" t="s">
        <v>2524</v>
      </c>
      <c r="Q290" s="37" t="s">
        <v>209</v>
      </c>
      <c r="R290" s="36">
        <v>39864</v>
      </c>
      <c r="S290" s="37" t="s">
        <v>569</v>
      </c>
      <c r="T290" s="36">
        <v>36880</v>
      </c>
      <c r="U290" s="37"/>
      <c r="V290" s="36"/>
      <c r="W290" s="37"/>
      <c r="X290" s="36"/>
      <c r="Y290" s="37"/>
      <c r="Z290" s="37"/>
      <c r="AA290" s="36"/>
      <c r="AB290" s="37"/>
      <c r="AC290" s="39">
        <v>98</v>
      </c>
      <c r="AD290" s="38" t="str">
        <f t="shared" si="14"/>
        <v>8년 2개월</v>
      </c>
      <c r="AE290" s="39">
        <f ca="1">(재직자!$AL$1-J290)/30</f>
        <v>76.066666666666663</v>
      </c>
      <c r="AF290" s="39" t="str">
        <f t="shared" ca="1" si="15"/>
        <v>6년 4개월</v>
      </c>
      <c r="AG290" s="39">
        <f t="shared" ca="1" si="16"/>
        <v>174.06666666666666</v>
      </c>
      <c r="AH290" s="39" t="str">
        <f t="shared" ca="1" si="17"/>
        <v>14년 6개월</v>
      </c>
      <c r="AI290" s="43" t="s">
        <v>2525</v>
      </c>
      <c r="AJ290" s="33" t="s">
        <v>2526</v>
      </c>
      <c r="AK290" s="62" t="s">
        <v>2527</v>
      </c>
      <c r="AL290" s="90"/>
      <c r="AM290" s="37" t="s">
        <v>2528</v>
      </c>
      <c r="AN290" s="54" t="s">
        <v>2529</v>
      </c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</row>
    <row r="291" spans="1:54" ht="16.5" customHeight="1">
      <c r="A291" s="33" t="s">
        <v>1360</v>
      </c>
      <c r="B291" s="33" t="s">
        <v>2530</v>
      </c>
      <c r="C291" s="33" t="s">
        <v>924</v>
      </c>
      <c r="D291" s="34" t="s">
        <v>2531</v>
      </c>
      <c r="E291" s="34" t="s">
        <v>228</v>
      </c>
      <c r="F291" s="34"/>
      <c r="G291" s="80" t="s">
        <v>1878</v>
      </c>
      <c r="H291" s="34"/>
      <c r="I291" s="35" t="s">
        <v>2532</v>
      </c>
      <c r="J291" s="36">
        <v>43843</v>
      </c>
      <c r="K291" s="36"/>
      <c r="L291" s="36"/>
      <c r="M291" s="37" t="s">
        <v>153</v>
      </c>
      <c r="N291" s="37" t="s">
        <v>1496</v>
      </c>
      <c r="O291" s="38" t="s">
        <v>2533</v>
      </c>
      <c r="P291" s="38" t="s">
        <v>1414</v>
      </c>
      <c r="Q291" s="37" t="s">
        <v>209</v>
      </c>
      <c r="R291" s="36">
        <v>36211</v>
      </c>
      <c r="S291" s="37"/>
      <c r="T291" s="36"/>
      <c r="U291" s="37"/>
      <c r="V291" s="36"/>
      <c r="W291" s="37"/>
      <c r="X291" s="36"/>
      <c r="Y291" s="37"/>
      <c r="Z291" s="37"/>
      <c r="AA291" s="36"/>
      <c r="AB291" s="37"/>
      <c r="AC291" s="39">
        <v>188</v>
      </c>
      <c r="AD291" s="38" t="str">
        <f t="shared" si="14"/>
        <v>15년 8개월</v>
      </c>
      <c r="AE291" s="39">
        <f ca="1">(재직자!$AL$1-J291)/30</f>
        <v>75.7</v>
      </c>
      <c r="AF291" s="39" t="str">
        <f t="shared" ca="1" si="15"/>
        <v>6년 3개월</v>
      </c>
      <c r="AG291" s="39">
        <f t="shared" ca="1" si="16"/>
        <v>263.7</v>
      </c>
      <c r="AH291" s="39" t="str">
        <f t="shared" ca="1" si="17"/>
        <v>21년 11개월</v>
      </c>
      <c r="AI291" s="43" t="s">
        <v>2534</v>
      </c>
      <c r="AJ291" s="33" t="s">
        <v>2535</v>
      </c>
      <c r="AK291" s="62" t="s">
        <v>2536</v>
      </c>
      <c r="AL291" s="90"/>
      <c r="AM291" s="37" t="s">
        <v>2537</v>
      </c>
      <c r="AN291" s="54" t="s">
        <v>2538</v>
      </c>
      <c r="AO291" s="32"/>
      <c r="AP291" s="32" t="s">
        <v>2190</v>
      </c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</row>
    <row r="292" spans="1:54" ht="16.5" customHeight="1">
      <c r="A292" s="33" t="s">
        <v>998</v>
      </c>
      <c r="B292" s="37">
        <v>210501</v>
      </c>
      <c r="C292" s="33" t="s">
        <v>395</v>
      </c>
      <c r="D292" s="37" t="s">
        <v>2539</v>
      </c>
      <c r="E292" s="97" t="s">
        <v>34</v>
      </c>
      <c r="F292" s="38"/>
      <c r="G292" s="80" t="s">
        <v>2418</v>
      </c>
      <c r="H292" s="34"/>
      <c r="I292" s="37" t="s">
        <v>2540</v>
      </c>
      <c r="J292" s="36">
        <v>44317</v>
      </c>
      <c r="K292" s="36"/>
      <c r="L292" s="36"/>
      <c r="M292" s="37" t="s">
        <v>153</v>
      </c>
      <c r="N292" s="37" t="s">
        <v>2541</v>
      </c>
      <c r="O292" s="37" t="s">
        <v>2542</v>
      </c>
      <c r="P292" s="37" t="s">
        <v>711</v>
      </c>
      <c r="Q292" s="37" t="s">
        <v>209</v>
      </c>
      <c r="R292" s="36">
        <v>36566</v>
      </c>
      <c r="S292" s="37"/>
      <c r="T292" s="36"/>
      <c r="U292" s="37"/>
      <c r="V292" s="36"/>
      <c r="W292" s="37"/>
      <c r="X292" s="36"/>
      <c r="Y292" s="37"/>
      <c r="Z292" s="37"/>
      <c r="AA292" s="37"/>
      <c r="AB292" s="37"/>
      <c r="AC292" s="39">
        <v>176</v>
      </c>
      <c r="AD292" s="37" t="str">
        <f t="shared" si="14"/>
        <v>14년 8개월</v>
      </c>
      <c r="AE292" s="39">
        <f ca="1">(재직자!$AL$1-J292)/30</f>
        <v>59.9</v>
      </c>
      <c r="AF292" s="37" t="str">
        <f t="shared" ca="1" si="15"/>
        <v>4년 11개월</v>
      </c>
      <c r="AG292" s="39">
        <f t="shared" ca="1" si="16"/>
        <v>235.9</v>
      </c>
      <c r="AH292" s="39" t="str">
        <f t="shared" ca="1" si="17"/>
        <v>19년 7개월</v>
      </c>
      <c r="AI292" s="44" t="s">
        <v>2543</v>
      </c>
      <c r="AJ292" s="37" t="s">
        <v>2544</v>
      </c>
      <c r="AK292" s="50" t="s">
        <v>2545</v>
      </c>
      <c r="AL292" s="37"/>
      <c r="AM292" s="37" t="s">
        <v>2546</v>
      </c>
      <c r="AN292" s="54" t="s">
        <v>2547</v>
      </c>
      <c r="AO292" s="32"/>
      <c r="AP292" s="32" t="s">
        <v>2190</v>
      </c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</row>
    <row r="293" spans="1:54" ht="16.5" customHeight="1">
      <c r="A293" s="33" t="s">
        <v>160</v>
      </c>
      <c r="B293" s="33" t="s">
        <v>2548</v>
      </c>
      <c r="C293" s="33" t="s">
        <v>924</v>
      </c>
      <c r="D293" s="34" t="s">
        <v>2549</v>
      </c>
      <c r="E293" s="34" t="s">
        <v>44</v>
      </c>
      <c r="F293" s="34"/>
      <c r="G293" s="80" t="s">
        <v>1685</v>
      </c>
      <c r="H293" s="34" t="s">
        <v>1221</v>
      </c>
      <c r="I293" s="35" t="s">
        <v>2550</v>
      </c>
      <c r="J293" s="36">
        <v>42879</v>
      </c>
      <c r="K293" s="36">
        <v>44228</v>
      </c>
      <c r="L293" s="36"/>
      <c r="M293" s="37" t="s">
        <v>153</v>
      </c>
      <c r="N293" s="37" t="s">
        <v>1893</v>
      </c>
      <c r="O293" s="38" t="s">
        <v>457</v>
      </c>
      <c r="P293" s="38" t="s">
        <v>964</v>
      </c>
      <c r="Q293" s="37" t="s">
        <v>209</v>
      </c>
      <c r="R293" s="36">
        <v>42786</v>
      </c>
      <c r="S293" s="37"/>
      <c r="T293" s="36"/>
      <c r="U293" s="37"/>
      <c r="V293" s="36"/>
      <c r="W293" s="37"/>
      <c r="X293" s="36"/>
      <c r="Y293" s="37"/>
      <c r="Z293" s="37"/>
      <c r="AA293" s="36"/>
      <c r="AB293" s="37"/>
      <c r="AC293" s="39"/>
      <c r="AD293" s="38" t="str">
        <f t="shared" si="14"/>
        <v>0년 0개월</v>
      </c>
      <c r="AE293" s="39">
        <f ca="1">(재직자!$AL$1-J293)/30</f>
        <v>107.83333333333333</v>
      </c>
      <c r="AF293" s="39" t="str">
        <f t="shared" ca="1" si="15"/>
        <v>8년 11개월</v>
      </c>
      <c r="AG293" s="39">
        <f t="shared" ca="1" si="16"/>
        <v>107.83333333333333</v>
      </c>
      <c r="AH293" s="39" t="str">
        <f t="shared" ca="1" si="17"/>
        <v>8년 11개월</v>
      </c>
      <c r="AI293" s="43" t="s">
        <v>2551</v>
      </c>
      <c r="AJ293" s="33" t="s">
        <v>2552</v>
      </c>
      <c r="AK293" s="62" t="s">
        <v>2553</v>
      </c>
      <c r="AL293" s="37"/>
      <c r="AM293" s="37" t="s">
        <v>2554</v>
      </c>
      <c r="AN293" s="54" t="s">
        <v>2555</v>
      </c>
      <c r="AO293" s="32"/>
      <c r="AP293" s="32" t="s">
        <v>2190</v>
      </c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</row>
    <row r="294" spans="1:54" ht="15.75" customHeight="1">
      <c r="A294" s="33" t="s">
        <v>2556</v>
      </c>
      <c r="B294" s="37"/>
      <c r="C294" s="86" t="s">
        <v>193</v>
      </c>
      <c r="D294" s="98" t="s">
        <v>2557</v>
      </c>
      <c r="E294" s="86" t="s">
        <v>51</v>
      </c>
      <c r="F294" s="37"/>
      <c r="G294" s="83" t="s">
        <v>2558</v>
      </c>
      <c r="H294" s="86" t="s">
        <v>2559</v>
      </c>
      <c r="I294" s="86" t="s">
        <v>2560</v>
      </c>
      <c r="J294" s="85">
        <v>44942</v>
      </c>
      <c r="K294" s="85"/>
      <c r="L294" s="99">
        <v>44957</v>
      </c>
      <c r="M294" s="86" t="s">
        <v>153</v>
      </c>
      <c r="N294" s="86" t="s">
        <v>2561</v>
      </c>
      <c r="O294" s="86" t="s">
        <v>617</v>
      </c>
      <c r="P294" s="86" t="s">
        <v>1414</v>
      </c>
      <c r="Q294" s="86" t="s">
        <v>209</v>
      </c>
      <c r="R294" s="100">
        <v>42970</v>
      </c>
      <c r="S294" s="86" t="s">
        <v>275</v>
      </c>
      <c r="T294" s="86" t="s">
        <v>2562</v>
      </c>
      <c r="U294" s="37"/>
      <c r="V294" s="37"/>
      <c r="W294" s="37"/>
      <c r="X294" s="37"/>
      <c r="Y294" s="37"/>
      <c r="Z294" s="37"/>
      <c r="AA294" s="37"/>
      <c r="AB294" s="37"/>
      <c r="AC294" s="91">
        <v>14</v>
      </c>
      <c r="AD294" s="38" t="str">
        <f t="shared" si="14"/>
        <v>1년 2개월</v>
      </c>
      <c r="AE294" s="39">
        <f ca="1">(재직자!$AL$1-J294)/30</f>
        <v>39.06666666666667</v>
      </c>
      <c r="AF294" s="39" t="str">
        <f t="shared" ca="1" si="15"/>
        <v>3년 3개월</v>
      </c>
      <c r="AG294" s="39">
        <f t="shared" ca="1" si="16"/>
        <v>53.06666666666667</v>
      </c>
      <c r="AH294" s="39" t="str">
        <f t="shared" ca="1" si="17"/>
        <v>4년 5개월</v>
      </c>
      <c r="AI294" s="96" t="s">
        <v>2563</v>
      </c>
      <c r="AJ294" s="86" t="s">
        <v>2564</v>
      </c>
      <c r="AK294" s="44"/>
      <c r="AL294" s="37"/>
      <c r="AM294" s="86" t="s">
        <v>2565</v>
      </c>
      <c r="AN294" s="37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</row>
    <row r="295" spans="1:54" ht="15.75" customHeight="1">
      <c r="A295" s="33" t="s">
        <v>2566</v>
      </c>
      <c r="B295" s="81" t="s">
        <v>2567</v>
      </c>
      <c r="C295" s="81" t="s">
        <v>226</v>
      </c>
      <c r="D295" s="101" t="s">
        <v>2568</v>
      </c>
      <c r="E295" s="82" t="s">
        <v>44</v>
      </c>
      <c r="F295" s="34"/>
      <c r="G295" s="83" t="s">
        <v>2427</v>
      </c>
      <c r="H295" s="102" t="s">
        <v>2569</v>
      </c>
      <c r="I295" s="84">
        <v>9311012710814</v>
      </c>
      <c r="J295" s="85">
        <v>44781</v>
      </c>
      <c r="K295" s="36"/>
      <c r="L295" s="36"/>
      <c r="M295" s="86" t="s">
        <v>153</v>
      </c>
      <c r="N295" s="86" t="s">
        <v>2570</v>
      </c>
      <c r="O295" s="87" t="s">
        <v>2571</v>
      </c>
      <c r="P295" s="87" t="s">
        <v>721</v>
      </c>
      <c r="Q295" s="86" t="s">
        <v>209</v>
      </c>
      <c r="R295" s="36"/>
      <c r="S295" s="86" t="s">
        <v>2572</v>
      </c>
      <c r="T295" s="85">
        <v>43098</v>
      </c>
      <c r="U295" s="37"/>
      <c r="V295" s="36"/>
      <c r="W295" s="37"/>
      <c r="X295" s="36"/>
      <c r="Y295" s="37"/>
      <c r="Z295" s="37"/>
      <c r="AA295" s="36"/>
      <c r="AB295" s="37"/>
      <c r="AC295" s="91">
        <v>25</v>
      </c>
      <c r="AD295" s="38" t="str">
        <f t="shared" si="14"/>
        <v>2년 1개월</v>
      </c>
      <c r="AE295" s="39">
        <f ca="1">(재직자!$AL$1-J295)/30</f>
        <v>44.43333333333333</v>
      </c>
      <c r="AF295" s="39" t="str">
        <f t="shared" ca="1" si="15"/>
        <v>3년 8개월</v>
      </c>
      <c r="AG295" s="39">
        <f t="shared" ca="1" si="16"/>
        <v>69.433333333333337</v>
      </c>
      <c r="AH295" s="39" t="str">
        <f t="shared" ca="1" si="17"/>
        <v>5년 9개월</v>
      </c>
      <c r="AI295" s="88" t="s">
        <v>2573</v>
      </c>
      <c r="AJ295" s="81" t="s">
        <v>2574</v>
      </c>
      <c r="AK295" s="89" t="s">
        <v>1599</v>
      </c>
      <c r="AL295" s="90"/>
      <c r="AM295" s="86" t="s">
        <v>2478</v>
      </c>
      <c r="AN295" s="54"/>
      <c r="AO295" s="32"/>
      <c r="AP295" s="32"/>
      <c r="AQ295" s="32"/>
      <c r="AR295" s="32"/>
      <c r="AS295" s="32"/>
    </row>
    <row r="296" spans="1:54" ht="15.75" customHeight="1">
      <c r="A296" s="33" t="s">
        <v>2451</v>
      </c>
      <c r="B296" s="81" t="s">
        <v>2575</v>
      </c>
      <c r="C296" s="81" t="s">
        <v>193</v>
      </c>
      <c r="D296" s="101" t="s">
        <v>2576</v>
      </c>
      <c r="E296" s="82" t="s">
        <v>51</v>
      </c>
      <c r="F296" s="34"/>
      <c r="G296" s="83" t="s">
        <v>2577</v>
      </c>
      <c r="H296" s="82" t="s">
        <v>2578</v>
      </c>
      <c r="I296" s="84" t="s">
        <v>2579</v>
      </c>
      <c r="J296" s="85">
        <v>44774</v>
      </c>
      <c r="K296" s="36"/>
      <c r="L296" s="36"/>
      <c r="M296" s="86" t="s">
        <v>2580</v>
      </c>
      <c r="N296" s="86" t="s">
        <v>2581</v>
      </c>
      <c r="O296" s="87" t="s">
        <v>2582</v>
      </c>
      <c r="P296" s="38"/>
      <c r="Q296" s="86" t="s">
        <v>209</v>
      </c>
      <c r="R296" s="85">
        <v>43699</v>
      </c>
      <c r="S296" s="86" t="s">
        <v>2583</v>
      </c>
      <c r="T296" s="85">
        <v>44746</v>
      </c>
      <c r="U296" s="86" t="s">
        <v>2584</v>
      </c>
      <c r="V296" s="85">
        <v>44418</v>
      </c>
      <c r="W296" s="86" t="s">
        <v>2585</v>
      </c>
      <c r="X296" s="85">
        <v>44661</v>
      </c>
      <c r="Y296" s="37"/>
      <c r="Z296" s="37"/>
      <c r="AA296" s="36"/>
      <c r="AB296" s="37"/>
      <c r="AC296" s="91">
        <v>0</v>
      </c>
      <c r="AD296" s="38" t="str">
        <f t="shared" si="14"/>
        <v>0년 0개월</v>
      </c>
      <c r="AE296" s="39">
        <f ca="1">(재직자!$AL$1-J296)/30</f>
        <v>44.666666666666664</v>
      </c>
      <c r="AF296" s="39" t="str">
        <f t="shared" ca="1" si="15"/>
        <v>3년 8개월</v>
      </c>
      <c r="AG296" s="39">
        <f t="shared" ca="1" si="16"/>
        <v>44.666666666666664</v>
      </c>
      <c r="AH296" s="39" t="str">
        <f t="shared" ca="1" si="17"/>
        <v>3년 8개월</v>
      </c>
      <c r="AI296" s="88" t="s">
        <v>2586</v>
      </c>
      <c r="AJ296" s="81" t="s">
        <v>2587</v>
      </c>
      <c r="AK296" s="103" t="s">
        <v>2588</v>
      </c>
      <c r="AL296" s="90"/>
      <c r="AM296" s="86" t="s">
        <v>2589</v>
      </c>
      <c r="AN296" s="54"/>
      <c r="AO296" s="32"/>
      <c r="AP296" s="32"/>
      <c r="AQ296" s="32"/>
      <c r="AR296" s="32"/>
      <c r="AS296" s="32"/>
    </row>
    <row r="297" spans="1:54" ht="15.75" customHeight="1">
      <c r="A297" s="33" t="s">
        <v>2590</v>
      </c>
      <c r="B297" s="81" t="s">
        <v>2591</v>
      </c>
      <c r="C297" s="81" t="s">
        <v>2592</v>
      </c>
      <c r="D297" s="101" t="s">
        <v>2593</v>
      </c>
      <c r="E297" s="82" t="s">
        <v>34</v>
      </c>
      <c r="F297" s="34"/>
      <c r="G297" s="83" t="s">
        <v>2427</v>
      </c>
      <c r="H297" s="82" t="s">
        <v>2428</v>
      </c>
      <c r="I297" s="84" t="s">
        <v>2594</v>
      </c>
      <c r="J297" s="85">
        <v>44725</v>
      </c>
      <c r="K297" s="36"/>
      <c r="L297" s="36"/>
      <c r="M297" s="86" t="s">
        <v>153</v>
      </c>
      <c r="N297" s="86" t="s">
        <v>2506</v>
      </c>
      <c r="O297" s="87" t="s">
        <v>2595</v>
      </c>
      <c r="P297" s="87" t="s">
        <v>711</v>
      </c>
      <c r="Q297" s="86" t="s">
        <v>209</v>
      </c>
      <c r="R297" s="85">
        <v>38041</v>
      </c>
      <c r="S297" s="37"/>
      <c r="T297" s="36"/>
      <c r="U297" s="37"/>
      <c r="V297" s="36"/>
      <c r="W297" s="37"/>
      <c r="X297" s="36"/>
      <c r="Y297" s="86" t="s">
        <v>199</v>
      </c>
      <c r="Z297" s="37"/>
      <c r="AA297" s="36"/>
      <c r="AB297" s="37"/>
      <c r="AC297" s="91">
        <v>167.5</v>
      </c>
      <c r="AD297" s="38" t="str">
        <f t="shared" si="14"/>
        <v>13년 11개월</v>
      </c>
      <c r="AE297" s="39">
        <f ca="1">(재직자!$AL$1-J297)/30</f>
        <v>46.3</v>
      </c>
      <c r="AF297" s="39" t="str">
        <f t="shared" ca="1" si="15"/>
        <v>3년 10개월</v>
      </c>
      <c r="AG297" s="39">
        <f t="shared" ca="1" si="16"/>
        <v>213.8</v>
      </c>
      <c r="AH297" s="39" t="str">
        <f t="shared" ca="1" si="17"/>
        <v>17년 9개월</v>
      </c>
      <c r="AI297" s="88" t="s">
        <v>2596</v>
      </c>
      <c r="AJ297" s="81" t="s">
        <v>2597</v>
      </c>
      <c r="AK297" s="89" t="s">
        <v>2598</v>
      </c>
      <c r="AL297" s="90"/>
      <c r="AM297" s="86" t="s">
        <v>2599</v>
      </c>
      <c r="AN297" s="54"/>
      <c r="AO297" s="32"/>
      <c r="AP297" s="32"/>
      <c r="AQ297" s="32"/>
      <c r="AR297" s="32"/>
      <c r="AS297" s="32"/>
    </row>
    <row r="298" spans="1:54" ht="16.5" customHeight="1">
      <c r="C298" s="33" t="s">
        <v>924</v>
      </c>
      <c r="D298" s="104" t="s">
        <v>2600</v>
      </c>
      <c r="E298" s="37" t="s">
        <v>51</v>
      </c>
      <c r="F298" s="38"/>
      <c r="G298" s="80" t="s">
        <v>52</v>
      </c>
      <c r="H298" s="34"/>
      <c r="I298" s="37" t="s">
        <v>2601</v>
      </c>
      <c r="J298" s="36">
        <v>43983</v>
      </c>
      <c r="K298" s="36"/>
      <c r="L298" s="105">
        <v>20230131</v>
      </c>
      <c r="M298" s="37" t="s">
        <v>153</v>
      </c>
      <c r="N298" s="37" t="s">
        <v>2602</v>
      </c>
      <c r="O298" s="37" t="s">
        <v>457</v>
      </c>
      <c r="P298" s="37" t="s">
        <v>1414</v>
      </c>
      <c r="Q298" s="37" t="s">
        <v>209</v>
      </c>
      <c r="R298" s="36">
        <v>42972</v>
      </c>
      <c r="S298" s="37" t="s">
        <v>275</v>
      </c>
      <c r="T298" s="36">
        <v>43791</v>
      </c>
      <c r="U298" s="37" t="s">
        <v>1882</v>
      </c>
      <c r="V298" s="36">
        <v>43823</v>
      </c>
      <c r="W298" s="37"/>
      <c r="X298" s="37"/>
      <c r="Y298" s="37"/>
      <c r="Z298" s="37"/>
      <c r="AA298" s="37"/>
      <c r="AB298" s="37"/>
      <c r="AC298" s="39">
        <v>0</v>
      </c>
      <c r="AD298" s="37" t="str">
        <f t="shared" ref="AD298:AD361" si="18">(TRUNC(AC298/12))&amp;"년 "&amp;(ROUNDDOWN(MOD(AC298,12),0))&amp;"개월"</f>
        <v>0년 0개월</v>
      </c>
      <c r="AE298" s="39">
        <f ca="1">(재직자!$AL$1-J298)/30</f>
        <v>71.033333333333331</v>
      </c>
      <c r="AF298" s="37" t="str">
        <f t="shared" ref="AF298:AF361" ca="1" si="19">(TRUNC(AE298/12))&amp;"년 "&amp;(ROUNDDOWN(MOD(AE298,12),0))&amp;"개월"</f>
        <v>5년 11개월</v>
      </c>
      <c r="AG298" s="39">
        <f t="shared" ref="AG298:AG361" ca="1" si="20">+AC298+AE298</f>
        <v>71.033333333333331</v>
      </c>
      <c r="AH298" s="39" t="str">
        <f t="shared" ref="AH298:AH361" ca="1" si="21">(TRUNC(AG298/12))&amp;"년 "&amp;(ROUNDDOWN(MOD(AG298,12),0))&amp;"개월"</f>
        <v>5년 11개월</v>
      </c>
      <c r="AI298" s="44" t="s">
        <v>2603</v>
      </c>
      <c r="AJ298" s="37" t="s">
        <v>2604</v>
      </c>
      <c r="AK298" s="50" t="s">
        <v>2605</v>
      </c>
      <c r="AL298" s="37"/>
      <c r="AM298" s="37" t="s">
        <v>2606</v>
      </c>
      <c r="AN298" s="54" t="s">
        <v>1898</v>
      </c>
      <c r="AO298" s="32"/>
      <c r="AP298" s="32" t="s">
        <v>2190</v>
      </c>
      <c r="AQ298" s="32"/>
      <c r="AR298" s="32"/>
      <c r="AS298" s="32"/>
    </row>
    <row r="299" spans="1:54" ht="16.5" customHeight="1">
      <c r="A299" s="33" t="s">
        <v>2607</v>
      </c>
      <c r="B299" s="37">
        <v>220103</v>
      </c>
      <c r="C299" s="33" t="s">
        <v>193</v>
      </c>
      <c r="D299" s="104" t="s">
        <v>2608</v>
      </c>
      <c r="E299" s="37" t="s">
        <v>51</v>
      </c>
      <c r="F299" s="38"/>
      <c r="G299" s="80" t="s">
        <v>1644</v>
      </c>
      <c r="H299" s="34"/>
      <c r="I299" s="37" t="s">
        <v>2609</v>
      </c>
      <c r="J299" s="36">
        <v>44566</v>
      </c>
      <c r="L299" s="85">
        <v>44988</v>
      </c>
      <c r="M299" s="37" t="s">
        <v>146</v>
      </c>
      <c r="N299" s="37" t="s">
        <v>2610</v>
      </c>
      <c r="O299" s="37" t="s">
        <v>2611</v>
      </c>
      <c r="P299" s="37" t="s">
        <v>1433</v>
      </c>
      <c r="Q299" s="37" t="s">
        <v>265</v>
      </c>
      <c r="R299" s="36">
        <v>43510</v>
      </c>
      <c r="S299" s="37"/>
      <c r="T299" s="36"/>
      <c r="U299" s="37"/>
      <c r="V299" s="36"/>
      <c r="W299" s="37"/>
      <c r="X299" s="36"/>
      <c r="Y299" s="37"/>
      <c r="Z299" s="37"/>
      <c r="AA299" s="37"/>
      <c r="AB299" s="37"/>
      <c r="AC299" s="39">
        <v>18</v>
      </c>
      <c r="AD299" s="37" t="str">
        <f t="shared" si="18"/>
        <v>1년 6개월</v>
      </c>
      <c r="AE299" s="39">
        <f ca="1">(재직자!$AL$1-J299)/30</f>
        <v>51.6</v>
      </c>
      <c r="AF299" s="37" t="str">
        <f t="shared" ca="1" si="19"/>
        <v>4년 3개월</v>
      </c>
      <c r="AG299" s="39">
        <f t="shared" ca="1" si="20"/>
        <v>69.599999999999994</v>
      </c>
      <c r="AH299" s="39" t="str">
        <f t="shared" ca="1" si="21"/>
        <v>5년 9개월</v>
      </c>
      <c r="AI299" s="44" t="s">
        <v>2612</v>
      </c>
      <c r="AJ299" s="37" t="s">
        <v>2613</v>
      </c>
      <c r="AK299" s="106" t="s">
        <v>1839</v>
      </c>
      <c r="AL299" s="37"/>
      <c r="AM299" s="37" t="s">
        <v>2614</v>
      </c>
      <c r="AN299" s="54" t="s">
        <v>2615</v>
      </c>
      <c r="AO299" s="32"/>
      <c r="AP299" s="32"/>
      <c r="AQ299" s="32"/>
      <c r="AR299" s="32"/>
      <c r="AS299" s="32"/>
    </row>
    <row r="300" spans="1:54" ht="15.75" customHeight="1">
      <c r="A300" s="33" t="s">
        <v>2616</v>
      </c>
      <c r="B300" s="81" t="s">
        <v>2617</v>
      </c>
      <c r="C300" s="81" t="s">
        <v>2618</v>
      </c>
      <c r="D300" s="101" t="s">
        <v>2619</v>
      </c>
      <c r="E300" s="82" t="s">
        <v>228</v>
      </c>
      <c r="F300" s="34"/>
      <c r="G300" s="83" t="s">
        <v>2427</v>
      </c>
      <c r="H300" s="82" t="s">
        <v>2428</v>
      </c>
      <c r="I300" s="84" t="s">
        <v>2620</v>
      </c>
      <c r="J300" s="85">
        <v>44791</v>
      </c>
      <c r="K300" s="36"/>
      <c r="L300" s="105">
        <v>20230320</v>
      </c>
      <c r="M300" s="86" t="s">
        <v>198</v>
      </c>
      <c r="N300" s="86" t="s">
        <v>741</v>
      </c>
      <c r="O300" s="87" t="s">
        <v>617</v>
      </c>
      <c r="P300" s="87" t="s">
        <v>711</v>
      </c>
      <c r="Q300" s="86" t="s">
        <v>198</v>
      </c>
      <c r="R300" s="85">
        <v>36396</v>
      </c>
      <c r="S300" s="37"/>
      <c r="T300" s="36"/>
      <c r="U300" s="37"/>
      <c r="V300" s="36"/>
      <c r="W300" s="37"/>
      <c r="X300" s="36"/>
      <c r="Y300" s="37"/>
      <c r="Z300" s="37"/>
      <c r="AA300" s="36"/>
      <c r="AB300" s="37"/>
      <c r="AC300" s="91">
        <v>222</v>
      </c>
      <c r="AD300" s="38" t="str">
        <f t="shared" si="18"/>
        <v>18년 6개월</v>
      </c>
      <c r="AE300" s="39">
        <f ca="1">($AK$1-J300)/30</f>
        <v>44.1</v>
      </c>
      <c r="AF300" s="39" t="str">
        <f t="shared" ca="1" si="19"/>
        <v>3년 8개월</v>
      </c>
      <c r="AG300" s="39">
        <f t="shared" ca="1" si="20"/>
        <v>266.10000000000002</v>
      </c>
      <c r="AH300" s="39" t="str">
        <f t="shared" ca="1" si="21"/>
        <v>22년 2개월</v>
      </c>
      <c r="AI300" s="96" t="s">
        <v>2621</v>
      </c>
      <c r="AJ300" s="86" t="s">
        <v>2622</v>
      </c>
      <c r="AK300" s="96" t="s">
        <v>2623</v>
      </c>
      <c r="AL300" s="37"/>
      <c r="AM300" s="86" t="s">
        <v>2624</v>
      </c>
      <c r="AN300" s="37"/>
      <c r="AO300" s="32"/>
      <c r="AP300" s="32"/>
      <c r="AQ300" s="32"/>
      <c r="AR300" s="32"/>
      <c r="AS300" s="32"/>
    </row>
    <row r="301" spans="1:54" ht="16.5" customHeight="1">
      <c r="A301" s="33" t="s">
        <v>2625</v>
      </c>
      <c r="B301" s="37">
        <v>220106</v>
      </c>
      <c r="C301" s="33" t="s">
        <v>193</v>
      </c>
      <c r="D301" s="104" t="s">
        <v>2626</v>
      </c>
      <c r="E301" s="37" t="s">
        <v>228</v>
      </c>
      <c r="F301" s="38"/>
      <c r="G301" s="80" t="s">
        <v>1685</v>
      </c>
      <c r="H301" s="34"/>
      <c r="I301" s="37" t="s">
        <v>2627</v>
      </c>
      <c r="J301" s="36">
        <v>44571</v>
      </c>
      <c r="K301" s="36"/>
      <c r="L301" s="105">
        <v>20230509</v>
      </c>
      <c r="M301" s="37" t="s">
        <v>153</v>
      </c>
      <c r="N301" s="37" t="s">
        <v>1496</v>
      </c>
      <c r="O301" s="37" t="s">
        <v>457</v>
      </c>
      <c r="P301" s="37" t="s">
        <v>1414</v>
      </c>
      <c r="Q301" s="37" t="s">
        <v>209</v>
      </c>
      <c r="R301" s="36">
        <v>35672</v>
      </c>
      <c r="S301" s="37" t="s">
        <v>275</v>
      </c>
      <c r="T301" s="36">
        <v>40872</v>
      </c>
      <c r="U301" s="37"/>
      <c r="V301" s="36"/>
      <c r="W301" s="37"/>
      <c r="X301" s="36"/>
      <c r="Y301" s="37"/>
      <c r="Z301" s="37"/>
      <c r="AA301" s="37"/>
      <c r="AB301" s="37"/>
      <c r="AC301" s="39">
        <v>278</v>
      </c>
      <c r="AD301" s="37" t="str">
        <f t="shared" si="18"/>
        <v>23년 2개월</v>
      </c>
      <c r="AE301" s="39">
        <f ca="1">(재직자!$AL$1-J301)/30</f>
        <v>51.43333333333333</v>
      </c>
      <c r="AF301" s="37" t="str">
        <f t="shared" ca="1" si="19"/>
        <v>4년 3개월</v>
      </c>
      <c r="AG301" s="39">
        <f t="shared" ca="1" si="20"/>
        <v>329.43333333333334</v>
      </c>
      <c r="AH301" s="39" t="str">
        <f t="shared" ca="1" si="21"/>
        <v>27년 5개월</v>
      </c>
      <c r="AI301" s="44" t="s">
        <v>2628</v>
      </c>
      <c r="AJ301" s="37" t="s">
        <v>2629</v>
      </c>
      <c r="AK301" s="50" t="s">
        <v>85</v>
      </c>
      <c r="AL301" s="37"/>
      <c r="AM301" s="37" t="s">
        <v>2630</v>
      </c>
      <c r="AN301" s="54" t="s">
        <v>2282</v>
      </c>
      <c r="AO301" s="32"/>
      <c r="AP301" s="32"/>
      <c r="AQ301" s="32"/>
      <c r="AR301" s="32"/>
      <c r="AS301" s="32"/>
    </row>
    <row r="302" spans="1:54" ht="15.75" customHeight="1">
      <c r="A302" s="33" t="s">
        <v>2470</v>
      </c>
      <c r="B302" s="81" t="s">
        <v>2631</v>
      </c>
      <c r="C302" s="81" t="s">
        <v>2632</v>
      </c>
      <c r="D302" s="101" t="s">
        <v>2633</v>
      </c>
      <c r="E302" s="82" t="s">
        <v>139</v>
      </c>
      <c r="F302" s="34"/>
      <c r="G302" s="83" t="s">
        <v>2634</v>
      </c>
      <c r="H302" s="82" t="s">
        <v>2635</v>
      </c>
      <c r="I302" s="84" t="s">
        <v>2636</v>
      </c>
      <c r="J302" s="85">
        <v>44805</v>
      </c>
      <c r="K302" s="36"/>
      <c r="L302" s="105">
        <v>20230430</v>
      </c>
      <c r="M302" s="86" t="s">
        <v>198</v>
      </c>
      <c r="N302" s="86" t="s">
        <v>905</v>
      </c>
      <c r="O302" s="87" t="s">
        <v>1124</v>
      </c>
      <c r="P302" s="87" t="s">
        <v>711</v>
      </c>
      <c r="Q302" s="86" t="s">
        <v>198</v>
      </c>
      <c r="R302" s="85">
        <v>37673</v>
      </c>
      <c r="S302" s="86" t="s">
        <v>275</v>
      </c>
      <c r="T302" s="85">
        <v>36787</v>
      </c>
      <c r="U302" s="37"/>
      <c r="V302" s="36"/>
      <c r="W302" s="37"/>
      <c r="X302" s="36"/>
      <c r="Y302" s="37"/>
      <c r="Z302" s="37"/>
      <c r="AA302" s="36"/>
      <c r="AB302" s="37"/>
      <c r="AC302" s="91">
        <v>169</v>
      </c>
      <c r="AD302" s="38" t="str">
        <f t="shared" si="18"/>
        <v>14년 1개월</v>
      </c>
      <c r="AE302" s="39">
        <f ca="1">(재직자!$AL$1-J302)/30</f>
        <v>43.633333333333333</v>
      </c>
      <c r="AF302" s="39" t="str">
        <f t="shared" ca="1" si="19"/>
        <v>3년 7개월</v>
      </c>
      <c r="AG302" s="39">
        <f t="shared" ca="1" si="20"/>
        <v>212.63333333333333</v>
      </c>
      <c r="AH302" s="39" t="str">
        <f t="shared" ca="1" si="21"/>
        <v>17년 8개월</v>
      </c>
      <c r="AI302" s="96" t="s">
        <v>2637</v>
      </c>
      <c r="AJ302" s="86" t="s">
        <v>2638</v>
      </c>
      <c r="AK302" s="96" t="s">
        <v>2639</v>
      </c>
      <c r="AL302" s="37"/>
      <c r="AM302" s="86" t="s">
        <v>2640</v>
      </c>
      <c r="AN302" s="37"/>
      <c r="AO302" s="32"/>
      <c r="AP302" s="32"/>
      <c r="AQ302" s="32"/>
      <c r="AR302" s="32"/>
      <c r="AS302" s="32"/>
    </row>
    <row r="303" spans="1:54" ht="15.75" customHeight="1">
      <c r="A303" s="33" t="s">
        <v>2641</v>
      </c>
      <c r="B303" s="81" t="s">
        <v>2642</v>
      </c>
      <c r="C303" s="81" t="s">
        <v>193</v>
      </c>
      <c r="D303" s="101" t="s">
        <v>2643</v>
      </c>
      <c r="E303" s="82" t="s">
        <v>88</v>
      </c>
      <c r="F303" s="34"/>
      <c r="G303" s="83" t="s">
        <v>2577</v>
      </c>
      <c r="H303" s="82" t="s">
        <v>2578</v>
      </c>
      <c r="I303" s="84" t="s">
        <v>2644</v>
      </c>
      <c r="J303" s="85">
        <v>44781</v>
      </c>
      <c r="K303" s="36"/>
      <c r="L303" s="86">
        <v>20230206</v>
      </c>
      <c r="M303" s="86" t="s">
        <v>198</v>
      </c>
      <c r="N303" s="86" t="s">
        <v>2645</v>
      </c>
      <c r="O303" s="87" t="s">
        <v>2646</v>
      </c>
      <c r="P303" s="87" t="s">
        <v>711</v>
      </c>
      <c r="Q303" s="86" t="s">
        <v>198</v>
      </c>
      <c r="R303" s="85">
        <v>44061</v>
      </c>
      <c r="S303" s="86" t="s">
        <v>2093</v>
      </c>
      <c r="T303" s="85">
        <v>43370</v>
      </c>
      <c r="U303" s="86" t="s">
        <v>1249</v>
      </c>
      <c r="V303" s="85">
        <v>44282</v>
      </c>
      <c r="W303" s="86" t="s">
        <v>2647</v>
      </c>
      <c r="X303" s="85">
        <v>44547</v>
      </c>
      <c r="Y303" s="37"/>
      <c r="Z303" s="37"/>
      <c r="AA303" s="36"/>
      <c r="AB303" s="37"/>
      <c r="AC303" s="39">
        <f>72.9+19.2</f>
        <v>92.100000000000009</v>
      </c>
      <c r="AD303" s="38" t="str">
        <f t="shared" si="18"/>
        <v>7년 8개월</v>
      </c>
      <c r="AE303" s="39">
        <f ca="1">(재직자!$AL$1-J303)/30</f>
        <v>44.43333333333333</v>
      </c>
      <c r="AF303" s="39" t="str">
        <f t="shared" ca="1" si="19"/>
        <v>3년 8개월</v>
      </c>
      <c r="AG303" s="39">
        <f t="shared" ca="1" si="20"/>
        <v>136.53333333333333</v>
      </c>
      <c r="AH303" s="39" t="str">
        <f t="shared" ca="1" si="21"/>
        <v>11년 4개월</v>
      </c>
      <c r="AI303" s="88" t="s">
        <v>2648</v>
      </c>
      <c r="AJ303" s="81" t="s">
        <v>2649</v>
      </c>
      <c r="AK303" s="103" t="s">
        <v>2509</v>
      </c>
      <c r="AL303" s="90"/>
      <c r="AM303" s="86" t="s">
        <v>2650</v>
      </c>
      <c r="AN303" s="54"/>
      <c r="AO303" s="32"/>
      <c r="AP303" s="32"/>
      <c r="AQ303" s="32"/>
      <c r="AR303" s="32"/>
      <c r="AS303" s="32"/>
    </row>
    <row r="304" spans="1:54">
      <c r="A304" s="33" t="s">
        <v>2218</v>
      </c>
      <c r="B304" s="37">
        <v>220108</v>
      </c>
      <c r="C304" s="33" t="s">
        <v>193</v>
      </c>
      <c r="D304" s="104" t="s">
        <v>2651</v>
      </c>
      <c r="E304" s="37" t="s">
        <v>44</v>
      </c>
      <c r="F304" s="38"/>
      <c r="G304" s="80" t="s">
        <v>2418</v>
      </c>
      <c r="H304" s="34"/>
      <c r="I304" s="37" t="s">
        <v>2652</v>
      </c>
      <c r="J304" s="36">
        <v>44578</v>
      </c>
      <c r="K304" s="36"/>
      <c r="L304" s="105">
        <v>20230430</v>
      </c>
      <c r="M304" s="37" t="s">
        <v>448</v>
      </c>
      <c r="N304" s="37" t="s">
        <v>2653</v>
      </c>
      <c r="O304" s="37" t="s">
        <v>2654</v>
      </c>
      <c r="P304" s="37" t="s">
        <v>964</v>
      </c>
      <c r="Q304" s="37" t="s">
        <v>448</v>
      </c>
      <c r="R304" s="36">
        <v>39507</v>
      </c>
      <c r="S304" s="37"/>
      <c r="T304" s="36"/>
      <c r="U304" s="37"/>
      <c r="V304" s="36"/>
      <c r="W304" s="37"/>
      <c r="X304" s="36"/>
      <c r="Y304" s="37"/>
      <c r="Z304" s="37"/>
      <c r="AA304" s="37"/>
      <c r="AB304" s="37"/>
      <c r="AC304" s="39">
        <v>79</v>
      </c>
      <c r="AD304" s="37" t="str">
        <f t="shared" si="18"/>
        <v>6년 7개월</v>
      </c>
      <c r="AE304" s="39">
        <f ca="1">(재직자!$AL$1-J304)/30</f>
        <v>51.2</v>
      </c>
      <c r="AF304" s="37" t="str">
        <f t="shared" ca="1" si="19"/>
        <v>4년 3개월</v>
      </c>
      <c r="AG304" s="39">
        <f t="shared" ca="1" si="20"/>
        <v>130.19999999999999</v>
      </c>
      <c r="AH304" s="39" t="str">
        <f t="shared" ca="1" si="21"/>
        <v>10년 10개월</v>
      </c>
      <c r="AI304" s="44" t="s">
        <v>2655</v>
      </c>
      <c r="AJ304" s="37" t="s">
        <v>2656</v>
      </c>
      <c r="AK304" s="50" t="s">
        <v>2657</v>
      </c>
      <c r="AL304" s="37"/>
      <c r="AM304" s="37" t="s">
        <v>2658</v>
      </c>
      <c r="AN304" s="54" t="s">
        <v>1641</v>
      </c>
      <c r="AO304" s="32"/>
      <c r="AP304" s="32"/>
      <c r="AQ304" s="32"/>
      <c r="AR304" s="32"/>
      <c r="AS304" s="32"/>
    </row>
    <row r="305" spans="1:54" ht="15.75" customHeight="1">
      <c r="A305" s="33" t="s">
        <v>2659</v>
      </c>
      <c r="B305" s="86">
        <v>221004</v>
      </c>
      <c r="C305" s="86" t="s">
        <v>2369</v>
      </c>
      <c r="D305" s="98" t="s">
        <v>2660</v>
      </c>
      <c r="E305" s="86" t="s">
        <v>228</v>
      </c>
      <c r="F305" s="37"/>
      <c r="G305" s="83" t="s">
        <v>2402</v>
      </c>
      <c r="H305" s="86"/>
      <c r="I305" s="86" t="s">
        <v>2661</v>
      </c>
      <c r="J305" s="85">
        <v>44860</v>
      </c>
      <c r="K305" s="36"/>
      <c r="L305" s="105">
        <v>20230512</v>
      </c>
      <c r="M305" s="86" t="s">
        <v>153</v>
      </c>
      <c r="N305" s="86" t="s">
        <v>541</v>
      </c>
      <c r="O305" s="86" t="s">
        <v>2662</v>
      </c>
      <c r="P305" s="86" t="s">
        <v>2036</v>
      </c>
      <c r="Q305" s="86" t="s">
        <v>209</v>
      </c>
      <c r="R305" s="85">
        <v>36210</v>
      </c>
      <c r="S305" s="86"/>
      <c r="T305" s="85"/>
      <c r="U305" s="37"/>
      <c r="V305" s="37"/>
      <c r="W305" s="37"/>
      <c r="X305" s="37"/>
      <c r="Y305" s="37"/>
      <c r="Z305" s="37"/>
      <c r="AA305" s="37"/>
      <c r="AB305" s="37"/>
      <c r="AC305" s="91">
        <v>264</v>
      </c>
      <c r="AD305" s="38" t="str">
        <f t="shared" si="18"/>
        <v>22년 0개월</v>
      </c>
      <c r="AE305" s="39">
        <f ca="1">(재직자!$AL$1-J305)/30</f>
        <v>41.8</v>
      </c>
      <c r="AF305" s="39" t="str">
        <f t="shared" ca="1" si="19"/>
        <v>3년 5개월</v>
      </c>
      <c r="AG305" s="39">
        <f t="shared" ca="1" si="20"/>
        <v>305.8</v>
      </c>
      <c r="AH305" s="39" t="str">
        <f t="shared" ca="1" si="21"/>
        <v>25년 5개월</v>
      </c>
      <c r="AI305" s="107" t="s">
        <v>2663</v>
      </c>
      <c r="AJ305" s="86" t="s">
        <v>2664</v>
      </c>
      <c r="AK305" s="96" t="s">
        <v>2665</v>
      </c>
      <c r="AL305" s="37"/>
      <c r="AM305" s="86" t="s">
        <v>2666</v>
      </c>
      <c r="AN305" s="37"/>
      <c r="AO305" s="32"/>
      <c r="AP305" s="32"/>
      <c r="AQ305" s="32"/>
      <c r="AR305" s="32"/>
      <c r="AS305" s="32"/>
    </row>
    <row r="306" spans="1:54" ht="16.5" customHeight="1">
      <c r="A306" s="33" t="s">
        <v>652</v>
      </c>
      <c r="B306" s="37">
        <v>201002</v>
      </c>
      <c r="C306" s="33" t="s">
        <v>2667</v>
      </c>
      <c r="D306" s="104" t="s">
        <v>2668</v>
      </c>
      <c r="E306" s="37" t="s">
        <v>228</v>
      </c>
      <c r="F306" s="38"/>
      <c r="G306" s="80" t="s">
        <v>2418</v>
      </c>
      <c r="H306" s="34"/>
      <c r="I306" s="37" t="s">
        <v>2669</v>
      </c>
      <c r="J306" s="36">
        <v>44130</v>
      </c>
      <c r="K306" s="36"/>
      <c r="L306" s="105">
        <v>20230630</v>
      </c>
      <c r="M306" s="37" t="s">
        <v>196</v>
      </c>
      <c r="N306" s="37" t="s">
        <v>1092</v>
      </c>
      <c r="O306" s="37" t="s">
        <v>1194</v>
      </c>
      <c r="P306" s="37" t="s">
        <v>711</v>
      </c>
      <c r="Q306" s="37" t="s">
        <v>198</v>
      </c>
      <c r="R306" s="36">
        <v>42425</v>
      </c>
      <c r="S306" s="37" t="s">
        <v>275</v>
      </c>
      <c r="T306" s="36">
        <v>35707</v>
      </c>
      <c r="U306" s="37" t="s">
        <v>2670</v>
      </c>
      <c r="V306" s="36">
        <v>35592</v>
      </c>
      <c r="W306" s="37" t="s">
        <v>1883</v>
      </c>
      <c r="X306" s="36">
        <v>43998</v>
      </c>
      <c r="Y306" s="37"/>
      <c r="Z306" s="37"/>
      <c r="AA306" s="37"/>
      <c r="AB306" s="37"/>
      <c r="AC306" s="39">
        <v>269</v>
      </c>
      <c r="AD306" s="37" t="str">
        <f t="shared" si="18"/>
        <v>22년 5개월</v>
      </c>
      <c r="AE306" s="39">
        <f ca="1">(재직자!$AL$1-J306)/30</f>
        <v>66.13333333333334</v>
      </c>
      <c r="AF306" s="37" t="str">
        <f t="shared" ca="1" si="19"/>
        <v>5년 6개월</v>
      </c>
      <c r="AG306" s="39">
        <f t="shared" ca="1" si="20"/>
        <v>335.13333333333333</v>
      </c>
      <c r="AH306" s="39" t="str">
        <f t="shared" ca="1" si="21"/>
        <v>27년 11개월</v>
      </c>
      <c r="AI306" s="44" t="s">
        <v>2671</v>
      </c>
      <c r="AJ306" s="37" t="s">
        <v>2672</v>
      </c>
      <c r="AK306" s="50" t="s">
        <v>2673</v>
      </c>
      <c r="AL306" s="37"/>
      <c r="AM306" s="37" t="s">
        <v>2224</v>
      </c>
      <c r="AN306" s="54" t="s">
        <v>2225</v>
      </c>
      <c r="AO306" s="32"/>
      <c r="AP306" s="32" t="s">
        <v>2190</v>
      </c>
      <c r="AQ306" s="32"/>
      <c r="AR306" s="32"/>
      <c r="AS306" s="32"/>
    </row>
    <row r="307" spans="1:54" ht="15.75" customHeight="1">
      <c r="A307" s="33" t="s">
        <v>2674</v>
      </c>
      <c r="B307" s="86">
        <v>230501</v>
      </c>
      <c r="C307" s="86" t="s">
        <v>2513</v>
      </c>
      <c r="D307" s="98" t="s">
        <v>2675</v>
      </c>
      <c r="E307" s="86" t="s">
        <v>88</v>
      </c>
      <c r="F307" s="37"/>
      <c r="G307" s="83" t="s">
        <v>2676</v>
      </c>
      <c r="H307" s="86" t="s">
        <v>2677</v>
      </c>
      <c r="I307" s="86" t="s">
        <v>2678</v>
      </c>
      <c r="J307" s="85">
        <v>45048</v>
      </c>
      <c r="K307" s="36"/>
      <c r="L307" s="105">
        <v>20230817</v>
      </c>
      <c r="M307" s="86" t="s">
        <v>146</v>
      </c>
      <c r="N307" s="86" t="s">
        <v>2679</v>
      </c>
      <c r="O307" s="86" t="s">
        <v>1872</v>
      </c>
      <c r="P307" s="86" t="s">
        <v>964</v>
      </c>
      <c r="Q307" s="86" t="s">
        <v>2680</v>
      </c>
      <c r="R307" s="100">
        <v>38762</v>
      </c>
      <c r="S307" s="86" t="s">
        <v>2681</v>
      </c>
      <c r="T307" s="85">
        <v>41600</v>
      </c>
      <c r="U307" s="37"/>
      <c r="V307" s="37"/>
      <c r="W307" s="37"/>
      <c r="Y307" s="37"/>
      <c r="Z307" s="37"/>
      <c r="AA307" s="37"/>
      <c r="AB307" s="37"/>
      <c r="AC307" s="91">
        <v>158</v>
      </c>
      <c r="AD307" s="38" t="str">
        <f t="shared" si="18"/>
        <v>13년 2개월</v>
      </c>
      <c r="AE307" s="39">
        <f ca="1">(재직자!$AL$1-J307)/30</f>
        <v>35.533333333333331</v>
      </c>
      <c r="AF307" s="39" t="str">
        <f t="shared" ca="1" si="19"/>
        <v>2년 11개월</v>
      </c>
      <c r="AG307" s="39">
        <f t="shared" ca="1" si="20"/>
        <v>193.53333333333333</v>
      </c>
      <c r="AH307" s="39" t="str">
        <f t="shared" ca="1" si="21"/>
        <v>16년 1개월</v>
      </c>
      <c r="AI307" s="96" t="s">
        <v>2682</v>
      </c>
      <c r="AJ307" s="86" t="s">
        <v>2683</v>
      </c>
      <c r="AK307" s="96" t="s">
        <v>2684</v>
      </c>
      <c r="AL307" s="37"/>
      <c r="AM307" s="86" t="s">
        <v>2685</v>
      </c>
      <c r="AN307" s="37"/>
      <c r="AO307" s="32"/>
      <c r="AP307" s="32"/>
      <c r="AQ307" s="32"/>
      <c r="AR307" s="32"/>
      <c r="AS307" s="32"/>
    </row>
    <row r="308" spans="1:54" ht="16.5" customHeight="1">
      <c r="A308" s="33" t="s">
        <v>341</v>
      </c>
      <c r="B308" s="33" t="s">
        <v>2686</v>
      </c>
      <c r="C308" s="33" t="s">
        <v>924</v>
      </c>
      <c r="D308" s="108" t="s">
        <v>2687</v>
      </c>
      <c r="E308" s="34" t="s">
        <v>228</v>
      </c>
      <c r="F308" s="34"/>
      <c r="G308" s="80" t="s">
        <v>1644</v>
      </c>
      <c r="H308" s="34"/>
      <c r="I308" s="35" t="s">
        <v>2688</v>
      </c>
      <c r="J308" s="36">
        <v>43780</v>
      </c>
      <c r="K308" s="36"/>
      <c r="L308" s="105">
        <v>20230731</v>
      </c>
      <c r="M308" s="37" t="s">
        <v>153</v>
      </c>
      <c r="N308" s="37" t="s">
        <v>197</v>
      </c>
      <c r="O308" s="38" t="s">
        <v>1982</v>
      </c>
      <c r="P308" s="38" t="s">
        <v>711</v>
      </c>
      <c r="Q308" s="37" t="s">
        <v>209</v>
      </c>
      <c r="R308" s="36">
        <v>36578</v>
      </c>
      <c r="S308" s="37"/>
      <c r="T308" s="36"/>
      <c r="U308" s="37"/>
      <c r="V308" s="36"/>
      <c r="W308" s="37"/>
      <c r="X308" s="36"/>
      <c r="Y308" s="37"/>
      <c r="Z308" s="37"/>
      <c r="AA308" s="36"/>
      <c r="AB308" s="37"/>
      <c r="AC308" s="91">
        <v>193.9</v>
      </c>
      <c r="AD308" s="38" t="str">
        <f t="shared" si="18"/>
        <v>16년 1개월</v>
      </c>
      <c r="AE308" s="39">
        <f ca="1">(재직자!$AL$1-J308)/30</f>
        <v>77.8</v>
      </c>
      <c r="AF308" s="39" t="str">
        <f t="shared" ca="1" si="19"/>
        <v>6년 5개월</v>
      </c>
      <c r="AG308" s="39">
        <f t="shared" ca="1" si="20"/>
        <v>271.7</v>
      </c>
      <c r="AH308" s="39" t="str">
        <f t="shared" ca="1" si="21"/>
        <v>22년 7개월</v>
      </c>
      <c r="AI308" s="43" t="s">
        <v>2689</v>
      </c>
      <c r="AJ308" s="33" t="s">
        <v>2690</v>
      </c>
      <c r="AK308" s="62" t="s">
        <v>2691</v>
      </c>
      <c r="AL308" s="90"/>
      <c r="AM308" s="37" t="s">
        <v>2692</v>
      </c>
      <c r="AN308" s="54" t="s">
        <v>1641</v>
      </c>
      <c r="AO308" s="32"/>
      <c r="AP308" s="32" t="s">
        <v>2190</v>
      </c>
      <c r="AQ308" s="32"/>
      <c r="AR308" s="32"/>
      <c r="AS308" s="32"/>
    </row>
    <row r="309" spans="1:54" ht="15.75" customHeight="1">
      <c r="A309" s="33" t="s">
        <v>2693</v>
      </c>
      <c r="B309" s="86">
        <v>230207</v>
      </c>
      <c r="C309" s="86" t="s">
        <v>2694</v>
      </c>
      <c r="D309" s="98" t="s">
        <v>2695</v>
      </c>
      <c r="E309" s="86" t="s">
        <v>139</v>
      </c>
      <c r="F309" s="37"/>
      <c r="G309" s="83" t="s">
        <v>2696</v>
      </c>
      <c r="H309" s="37"/>
      <c r="I309" s="86" t="s">
        <v>2697</v>
      </c>
      <c r="J309" s="85">
        <v>44980</v>
      </c>
      <c r="K309" s="36"/>
      <c r="L309" s="105">
        <v>20230410</v>
      </c>
      <c r="M309" s="86" t="s">
        <v>153</v>
      </c>
      <c r="N309" s="86" t="s">
        <v>2698</v>
      </c>
      <c r="O309" s="86" t="s">
        <v>2699</v>
      </c>
      <c r="P309" s="86" t="s">
        <v>870</v>
      </c>
      <c r="Q309" s="86" t="s">
        <v>209</v>
      </c>
      <c r="R309" s="85">
        <v>35111</v>
      </c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91">
        <v>209</v>
      </c>
      <c r="AD309" s="38" t="str">
        <f t="shared" si="18"/>
        <v>17년 5개월</v>
      </c>
      <c r="AE309" s="39">
        <f ca="1">(재직자!$AL$1-J309)/30</f>
        <v>37.799999999999997</v>
      </c>
      <c r="AF309" s="39" t="str">
        <f t="shared" ca="1" si="19"/>
        <v>3년 1개월</v>
      </c>
      <c r="AG309" s="39">
        <f t="shared" ca="1" si="20"/>
        <v>246.8</v>
      </c>
      <c r="AH309" s="39" t="str">
        <f t="shared" ca="1" si="21"/>
        <v>20년 6개월</v>
      </c>
      <c r="AI309" s="96" t="s">
        <v>2700</v>
      </c>
      <c r="AJ309" s="86" t="s">
        <v>2701</v>
      </c>
      <c r="AK309" s="96" t="s">
        <v>2702</v>
      </c>
      <c r="AL309" s="37"/>
      <c r="AM309" s="86" t="s">
        <v>2703</v>
      </c>
      <c r="AN309" s="37"/>
      <c r="AO309" s="32"/>
      <c r="AP309" s="32"/>
      <c r="AQ309" s="32"/>
      <c r="AR309" s="32"/>
      <c r="AS309" s="32"/>
    </row>
    <row r="310" spans="1:54" ht="16.5" customHeight="1">
      <c r="A310" s="33" t="s">
        <v>510</v>
      </c>
      <c r="B310" s="68">
        <v>210301</v>
      </c>
      <c r="C310" s="77" t="s">
        <v>924</v>
      </c>
      <c r="D310" s="109" t="s">
        <v>2704</v>
      </c>
      <c r="E310" s="68" t="s">
        <v>51</v>
      </c>
      <c r="F310" s="69"/>
      <c r="G310" s="75" t="s">
        <v>1878</v>
      </c>
      <c r="H310" s="70"/>
      <c r="I310" s="68" t="s">
        <v>2705</v>
      </c>
      <c r="J310" s="71">
        <v>44257</v>
      </c>
      <c r="K310" s="71"/>
      <c r="L310" s="85">
        <v>45107</v>
      </c>
      <c r="M310" s="68" t="s">
        <v>153</v>
      </c>
      <c r="N310" s="68" t="s">
        <v>2706</v>
      </c>
      <c r="O310" s="68" t="s">
        <v>2482</v>
      </c>
      <c r="P310" s="68" t="s">
        <v>931</v>
      </c>
      <c r="Q310" s="68" t="s">
        <v>209</v>
      </c>
      <c r="R310" s="71">
        <v>43154</v>
      </c>
      <c r="S310" s="68"/>
      <c r="T310" s="71"/>
      <c r="U310" s="37" t="s">
        <v>2707</v>
      </c>
      <c r="V310" s="71">
        <v>44007</v>
      </c>
      <c r="W310" s="68"/>
      <c r="X310" s="71"/>
      <c r="Y310" s="68"/>
      <c r="Z310" s="68"/>
      <c r="AA310" s="68"/>
      <c r="AB310" s="68"/>
      <c r="AC310" s="72">
        <v>0</v>
      </c>
      <c r="AD310" s="68" t="str">
        <f t="shared" si="18"/>
        <v>0년 0개월</v>
      </c>
      <c r="AE310" s="72">
        <f ca="1">(재직자!$AL$1-J310)/30</f>
        <v>61.9</v>
      </c>
      <c r="AF310" s="68" t="str">
        <f t="shared" ca="1" si="19"/>
        <v>5년 1개월</v>
      </c>
      <c r="AG310" s="72">
        <f t="shared" ca="1" si="20"/>
        <v>61.9</v>
      </c>
      <c r="AH310" s="72" t="str">
        <f t="shared" ca="1" si="21"/>
        <v>5년 1개월</v>
      </c>
      <c r="AI310" s="73" t="s">
        <v>2708</v>
      </c>
      <c r="AJ310" s="68" t="s">
        <v>2709</v>
      </c>
      <c r="AK310" s="74" t="s">
        <v>2710</v>
      </c>
      <c r="AL310" s="68"/>
      <c r="AM310" s="37" t="s">
        <v>2711</v>
      </c>
      <c r="AN310" s="54" t="s">
        <v>2712</v>
      </c>
      <c r="AO310" s="32"/>
      <c r="AP310" s="32" t="s">
        <v>2190</v>
      </c>
      <c r="AQ310" s="32"/>
      <c r="AR310" s="32"/>
      <c r="AS310" s="32"/>
    </row>
    <row r="311" spans="1:54" ht="16.5" customHeight="1">
      <c r="A311" s="33" t="s">
        <v>2713</v>
      </c>
      <c r="B311" s="37">
        <v>210704</v>
      </c>
      <c r="C311" s="33" t="s">
        <v>2051</v>
      </c>
      <c r="D311" s="104" t="s">
        <v>2714</v>
      </c>
      <c r="E311" s="37" t="s">
        <v>228</v>
      </c>
      <c r="F311" s="38"/>
      <c r="G311" s="80" t="s">
        <v>1644</v>
      </c>
      <c r="H311" s="34"/>
      <c r="I311" s="37" t="s">
        <v>2715</v>
      </c>
      <c r="J311" s="36">
        <v>44403</v>
      </c>
      <c r="K311" s="36"/>
      <c r="L311" s="85">
        <v>45077</v>
      </c>
      <c r="M311" s="37" t="s">
        <v>153</v>
      </c>
      <c r="N311" s="37" t="s">
        <v>731</v>
      </c>
      <c r="O311" s="37" t="s">
        <v>1133</v>
      </c>
      <c r="P311" s="37" t="s">
        <v>711</v>
      </c>
      <c r="Q311" s="37" t="s">
        <v>209</v>
      </c>
      <c r="R311" s="36">
        <v>39482</v>
      </c>
      <c r="S311" s="37" t="s">
        <v>275</v>
      </c>
      <c r="T311" s="36">
        <v>36787</v>
      </c>
      <c r="U311" s="37" t="s">
        <v>2716</v>
      </c>
      <c r="V311" s="36">
        <v>34694</v>
      </c>
      <c r="W311" s="86" t="s">
        <v>2717</v>
      </c>
      <c r="X311" s="85">
        <v>44483</v>
      </c>
      <c r="Y311" s="37"/>
      <c r="Z311" s="37"/>
      <c r="AA311" s="37"/>
      <c r="AB311" s="37"/>
      <c r="AC311" s="39">
        <v>230</v>
      </c>
      <c r="AD311" s="37" t="str">
        <f t="shared" si="18"/>
        <v>19년 2개월</v>
      </c>
      <c r="AE311" s="39">
        <f ca="1">(재직자!$AL$1-J311)/30</f>
        <v>57.033333333333331</v>
      </c>
      <c r="AF311" s="37" t="str">
        <f t="shared" ca="1" si="19"/>
        <v>4년 9개월</v>
      </c>
      <c r="AG311" s="39">
        <f t="shared" ca="1" si="20"/>
        <v>287.0333333333333</v>
      </c>
      <c r="AH311" s="39" t="str">
        <f t="shared" ca="1" si="21"/>
        <v>23년 11개월</v>
      </c>
      <c r="AI311" s="44" t="s">
        <v>2718</v>
      </c>
      <c r="AJ311" s="37" t="s">
        <v>2719</v>
      </c>
      <c r="AK311" s="50" t="s">
        <v>2720</v>
      </c>
      <c r="AL311" s="37"/>
      <c r="AM311" s="37" t="s">
        <v>2374</v>
      </c>
      <c r="AN311" s="54" t="s">
        <v>2375</v>
      </c>
      <c r="AO311" s="32"/>
      <c r="AP311" s="32" t="s">
        <v>2190</v>
      </c>
      <c r="AQ311" s="32"/>
      <c r="AR311" s="32"/>
      <c r="AS311" s="32"/>
    </row>
    <row r="312" spans="1:54" ht="16.5" customHeight="1">
      <c r="A312" s="33" t="s">
        <v>2000</v>
      </c>
      <c r="B312" s="37">
        <v>220303</v>
      </c>
      <c r="C312" s="33" t="s">
        <v>193</v>
      </c>
      <c r="D312" s="104" t="s">
        <v>2721</v>
      </c>
      <c r="E312" s="37" t="s">
        <v>51</v>
      </c>
      <c r="F312" s="38"/>
      <c r="G312" s="80" t="s">
        <v>52</v>
      </c>
      <c r="H312" s="34"/>
      <c r="I312" s="37" t="s">
        <v>2722</v>
      </c>
      <c r="J312" s="36">
        <v>44634</v>
      </c>
      <c r="K312" s="36"/>
      <c r="L312" s="85">
        <v>45044</v>
      </c>
      <c r="M312" s="37" t="s">
        <v>153</v>
      </c>
      <c r="N312" s="37" t="s">
        <v>1111</v>
      </c>
      <c r="O312" s="37" t="s">
        <v>2723</v>
      </c>
      <c r="P312" s="37" t="s">
        <v>711</v>
      </c>
      <c r="Q312" s="37" t="s">
        <v>209</v>
      </c>
      <c r="R312" s="36">
        <v>43140</v>
      </c>
      <c r="S312" s="37" t="s">
        <v>275</v>
      </c>
      <c r="T312" s="36">
        <v>44147</v>
      </c>
      <c r="U312" s="37"/>
      <c r="V312" s="36"/>
      <c r="W312" s="37"/>
      <c r="X312" s="36"/>
      <c r="Y312" s="37"/>
      <c r="Z312" s="37"/>
      <c r="AA312" s="37"/>
      <c r="AB312" s="37"/>
      <c r="AC312" s="39">
        <v>33</v>
      </c>
      <c r="AD312" s="37" t="str">
        <f t="shared" si="18"/>
        <v>2년 9개월</v>
      </c>
      <c r="AE312" s="39">
        <f ca="1">(재직자!$AL$1-J312)/30</f>
        <v>49.333333333333336</v>
      </c>
      <c r="AF312" s="39" t="str">
        <f t="shared" ca="1" si="19"/>
        <v>4년 1개월</v>
      </c>
      <c r="AG312" s="39">
        <f t="shared" ca="1" si="20"/>
        <v>82.333333333333343</v>
      </c>
      <c r="AH312" s="39" t="str">
        <f t="shared" ca="1" si="21"/>
        <v>6년 10개월</v>
      </c>
      <c r="AI312" s="44" t="s">
        <v>2724</v>
      </c>
      <c r="AJ312" s="37" t="s">
        <v>2725</v>
      </c>
      <c r="AK312" s="94" t="s">
        <v>2726</v>
      </c>
      <c r="AL312" s="37"/>
      <c r="AM312" s="37" t="s">
        <v>2727</v>
      </c>
      <c r="AN312" s="54" t="s">
        <v>2728</v>
      </c>
      <c r="AO312" s="32"/>
      <c r="AP312" s="32"/>
      <c r="AQ312" s="32"/>
      <c r="AR312" s="32"/>
      <c r="AS312" s="32"/>
    </row>
    <row r="313" spans="1:54" ht="15.75" customHeight="1">
      <c r="A313" s="33" t="s">
        <v>2238</v>
      </c>
      <c r="B313" s="81" t="s">
        <v>2729</v>
      </c>
      <c r="C313" s="33" t="s">
        <v>2369</v>
      </c>
      <c r="D313" s="108" t="s">
        <v>2730</v>
      </c>
      <c r="E313" s="34" t="s">
        <v>139</v>
      </c>
      <c r="F313" s="34"/>
      <c r="G313" s="80" t="s">
        <v>2402</v>
      </c>
      <c r="H313" s="34"/>
      <c r="I313" s="35" t="s">
        <v>2731</v>
      </c>
      <c r="J313" s="36">
        <v>44704</v>
      </c>
      <c r="K313" s="36"/>
      <c r="L313" s="85">
        <v>45163</v>
      </c>
      <c r="M313" s="37" t="s">
        <v>153</v>
      </c>
      <c r="N313" s="37" t="s">
        <v>1792</v>
      </c>
      <c r="O313" s="38" t="s">
        <v>1770</v>
      </c>
      <c r="P313" s="38" t="s">
        <v>1794</v>
      </c>
      <c r="Q313" s="37" t="s">
        <v>209</v>
      </c>
      <c r="R313" s="36">
        <v>35489</v>
      </c>
      <c r="S313" s="37"/>
      <c r="T313" s="36"/>
      <c r="U313" s="37"/>
      <c r="V313" s="36"/>
      <c r="W313" s="37"/>
      <c r="X313" s="36"/>
      <c r="Y313" s="37"/>
      <c r="Z313" s="37"/>
      <c r="AA313" s="36"/>
      <c r="AB313" s="37"/>
      <c r="AC313" s="39">
        <v>245</v>
      </c>
      <c r="AD313" s="38" t="str">
        <f t="shared" si="18"/>
        <v>20년 5개월</v>
      </c>
      <c r="AE313" s="39">
        <f ca="1">(재직자!$AL$1-J313)/30</f>
        <v>47</v>
      </c>
      <c r="AF313" s="39" t="str">
        <f t="shared" ca="1" si="19"/>
        <v>3년 11개월</v>
      </c>
      <c r="AG313" s="39">
        <f t="shared" ca="1" si="20"/>
        <v>292</v>
      </c>
      <c r="AH313" s="39" t="str">
        <f t="shared" ca="1" si="21"/>
        <v>24년 4개월</v>
      </c>
      <c r="AI313" s="43" t="s">
        <v>2732</v>
      </c>
      <c r="AJ313" s="33" t="s">
        <v>2733</v>
      </c>
      <c r="AK313" s="89" t="s">
        <v>2734</v>
      </c>
      <c r="AL313" s="90"/>
      <c r="AM313" s="37" t="s">
        <v>2735</v>
      </c>
      <c r="AN313" s="54"/>
      <c r="AO313" s="32"/>
      <c r="AP313" s="32"/>
      <c r="AQ313" s="32"/>
      <c r="AR313" s="32"/>
      <c r="AS313" s="32"/>
    </row>
    <row r="314" spans="1:54" ht="15.75" customHeight="1">
      <c r="A314" s="33" t="s">
        <v>2736</v>
      </c>
      <c r="B314" s="81" t="s">
        <v>2737</v>
      </c>
      <c r="C314" s="81" t="s">
        <v>193</v>
      </c>
      <c r="D314" s="101" t="s">
        <v>1642</v>
      </c>
      <c r="E314" s="82" t="s">
        <v>34</v>
      </c>
      <c r="F314" s="34"/>
      <c r="G314" s="83" t="s">
        <v>2634</v>
      </c>
      <c r="H314" s="82" t="s">
        <v>2635</v>
      </c>
      <c r="I314" s="84" t="s">
        <v>1645</v>
      </c>
      <c r="J314" s="85">
        <v>44805</v>
      </c>
      <c r="K314" s="36"/>
      <c r="L314" s="85">
        <v>45019</v>
      </c>
      <c r="M314" s="86" t="s">
        <v>153</v>
      </c>
      <c r="N314" s="86" t="s">
        <v>973</v>
      </c>
      <c r="O314" s="87" t="s">
        <v>1271</v>
      </c>
      <c r="P314" s="87" t="s">
        <v>1134</v>
      </c>
      <c r="Q314" s="86" t="s">
        <v>209</v>
      </c>
      <c r="R314" s="85">
        <v>39500</v>
      </c>
      <c r="S314" s="37" t="s">
        <v>275</v>
      </c>
      <c r="T314" s="85">
        <v>39237</v>
      </c>
      <c r="U314" s="37" t="s">
        <v>1074</v>
      </c>
      <c r="V314" s="36">
        <v>39310</v>
      </c>
      <c r="W314" s="37"/>
      <c r="X314" s="36"/>
      <c r="Y314" s="37"/>
      <c r="Z314" s="37"/>
      <c r="AA314" s="36"/>
      <c r="AB314" s="37"/>
      <c r="AC314" s="91">
        <v>154</v>
      </c>
      <c r="AD314" s="38" t="str">
        <f t="shared" si="18"/>
        <v>12년 10개월</v>
      </c>
      <c r="AE314" s="39">
        <f ca="1">(재직자!$AL$1-J314)/30</f>
        <v>43.633333333333333</v>
      </c>
      <c r="AF314" s="39" t="str">
        <f t="shared" ca="1" si="19"/>
        <v>3년 7개월</v>
      </c>
      <c r="AG314" s="39">
        <f t="shared" ca="1" si="20"/>
        <v>197.63333333333333</v>
      </c>
      <c r="AH314" s="39" t="str">
        <f t="shared" ca="1" si="21"/>
        <v>16년 5개월</v>
      </c>
      <c r="AI314" s="96" t="s">
        <v>2738</v>
      </c>
      <c r="AJ314" s="86" t="s">
        <v>1647</v>
      </c>
      <c r="AK314" s="96" t="s">
        <v>1648</v>
      </c>
      <c r="AL314" s="37"/>
      <c r="AM314" s="86" t="s">
        <v>1649</v>
      </c>
      <c r="AN314" s="37"/>
      <c r="AO314" s="32"/>
      <c r="AP314" s="32"/>
      <c r="AQ314" s="32"/>
      <c r="AR314" s="32"/>
      <c r="AS314" s="32"/>
    </row>
    <row r="315" spans="1:54" ht="16.5" customHeight="1">
      <c r="A315" s="33" t="s">
        <v>643</v>
      </c>
      <c r="B315" s="37">
        <v>210407</v>
      </c>
      <c r="C315" s="33" t="s">
        <v>924</v>
      </c>
      <c r="D315" s="104" t="s">
        <v>2739</v>
      </c>
      <c r="E315" s="37" t="s">
        <v>88</v>
      </c>
      <c r="F315" s="38"/>
      <c r="G315" s="80" t="s">
        <v>1878</v>
      </c>
      <c r="H315" s="34"/>
      <c r="I315" s="37" t="s">
        <v>2740</v>
      </c>
      <c r="J315" s="36">
        <v>44305</v>
      </c>
      <c r="K315" s="85"/>
      <c r="L315" s="85">
        <v>45184</v>
      </c>
      <c r="M315" s="37" t="s">
        <v>146</v>
      </c>
      <c r="N315" s="37" t="s">
        <v>2741</v>
      </c>
      <c r="O315" s="37" t="s">
        <v>1881</v>
      </c>
      <c r="P315" s="37" t="s">
        <v>964</v>
      </c>
      <c r="Q315" s="37" t="s">
        <v>265</v>
      </c>
      <c r="R315" s="36">
        <v>39498</v>
      </c>
      <c r="S315" s="37"/>
      <c r="T315" s="36"/>
      <c r="U315" s="37" t="s">
        <v>2742</v>
      </c>
      <c r="V315" s="36">
        <v>44273</v>
      </c>
      <c r="W315" s="37"/>
      <c r="X315" s="36"/>
      <c r="Y315" s="37"/>
      <c r="Z315" s="37"/>
      <c r="AA315" s="37"/>
      <c r="AB315" s="37"/>
      <c r="AC315" s="39">
        <v>99</v>
      </c>
      <c r="AD315" s="37" t="str">
        <f t="shared" si="18"/>
        <v>8년 3개월</v>
      </c>
      <c r="AE315" s="39">
        <f ca="1">(재직자!$AL$1-J315)/30</f>
        <v>60.3</v>
      </c>
      <c r="AF315" s="37" t="str">
        <f t="shared" ca="1" si="19"/>
        <v>5년 0개월</v>
      </c>
      <c r="AG315" s="39">
        <f t="shared" ca="1" si="20"/>
        <v>159.30000000000001</v>
      </c>
      <c r="AH315" s="39" t="str">
        <f t="shared" ca="1" si="21"/>
        <v>13년 3개월</v>
      </c>
      <c r="AI315" s="44" t="s">
        <v>2743</v>
      </c>
      <c r="AJ315" s="37" t="s">
        <v>2744</v>
      </c>
      <c r="AK315" s="50" t="s">
        <v>2745</v>
      </c>
      <c r="AL315" s="37"/>
      <c r="AM315" s="37" t="s">
        <v>2746</v>
      </c>
      <c r="AN315" s="54" t="s">
        <v>689</v>
      </c>
      <c r="AO315" s="32"/>
      <c r="AP315" s="32" t="s">
        <v>2190</v>
      </c>
      <c r="AQ315" s="32"/>
      <c r="AR315" s="32"/>
      <c r="AS315" s="32"/>
    </row>
    <row r="316" spans="1:54" ht="15.75" customHeight="1">
      <c r="A316" s="33" t="s">
        <v>2126</v>
      </c>
      <c r="B316" s="86">
        <v>220907</v>
      </c>
      <c r="C316" s="86" t="s">
        <v>2513</v>
      </c>
      <c r="D316" s="98" t="s">
        <v>2747</v>
      </c>
      <c r="E316" s="86" t="s">
        <v>51</v>
      </c>
      <c r="F316" s="37"/>
      <c r="G316" s="83" t="s">
        <v>2463</v>
      </c>
      <c r="H316" s="86" t="s">
        <v>635</v>
      </c>
      <c r="I316" s="86" t="s">
        <v>2748</v>
      </c>
      <c r="J316" s="85">
        <v>44830</v>
      </c>
      <c r="K316" s="36"/>
      <c r="L316" s="85">
        <v>45196</v>
      </c>
      <c r="M316" s="86" t="s">
        <v>2749</v>
      </c>
      <c r="N316" s="86" t="s">
        <v>2750</v>
      </c>
      <c r="O316" s="86" t="s">
        <v>2751</v>
      </c>
      <c r="P316" s="86" t="s">
        <v>964</v>
      </c>
      <c r="Q316" s="86" t="s">
        <v>209</v>
      </c>
      <c r="R316" s="85">
        <v>44610</v>
      </c>
      <c r="S316" s="86" t="s">
        <v>2752</v>
      </c>
      <c r="T316" s="85">
        <v>44012</v>
      </c>
      <c r="U316" s="86" t="s">
        <v>405</v>
      </c>
      <c r="V316" s="85">
        <v>44806</v>
      </c>
      <c r="W316" s="37"/>
      <c r="X316" s="37"/>
      <c r="Y316" s="37"/>
      <c r="Z316" s="37"/>
      <c r="AA316" s="37"/>
      <c r="AB316" s="37"/>
      <c r="AC316" s="91">
        <v>0</v>
      </c>
      <c r="AD316" s="38" t="str">
        <f t="shared" si="18"/>
        <v>0년 0개월</v>
      </c>
      <c r="AE316" s="39">
        <f ca="1">(재직자!$AL$1-J316)/30</f>
        <v>42.8</v>
      </c>
      <c r="AF316" s="39" t="str">
        <f t="shared" ca="1" si="19"/>
        <v>3년 6개월</v>
      </c>
      <c r="AG316" s="39">
        <f t="shared" ca="1" si="20"/>
        <v>42.8</v>
      </c>
      <c r="AH316" s="39" t="str">
        <f t="shared" ca="1" si="21"/>
        <v>3년 6개월</v>
      </c>
      <c r="AI316" s="96" t="s">
        <v>2753</v>
      </c>
      <c r="AJ316" s="86" t="s">
        <v>2754</v>
      </c>
      <c r="AK316" s="96" t="s">
        <v>2755</v>
      </c>
      <c r="AL316" s="37"/>
      <c r="AM316" s="86" t="s">
        <v>2756</v>
      </c>
      <c r="AN316" s="37"/>
      <c r="AO316" s="32"/>
      <c r="AP316" s="32"/>
      <c r="AQ316" s="32"/>
      <c r="AR316" s="32"/>
      <c r="AS316" s="32"/>
    </row>
    <row r="317" spans="1:54" ht="16.5" customHeight="1">
      <c r="A317" s="33" t="s">
        <v>280</v>
      </c>
      <c r="B317" s="37">
        <v>210307</v>
      </c>
      <c r="C317" s="33" t="s">
        <v>924</v>
      </c>
      <c r="D317" s="104" t="s">
        <v>2757</v>
      </c>
      <c r="E317" s="37" t="s">
        <v>51</v>
      </c>
      <c r="F317" s="38"/>
      <c r="G317" s="80" t="s">
        <v>52</v>
      </c>
      <c r="H317" s="34"/>
      <c r="I317" s="37" t="s">
        <v>2758</v>
      </c>
      <c r="J317" s="36">
        <v>44272</v>
      </c>
      <c r="K317" s="36"/>
      <c r="L317" s="36"/>
      <c r="M317" s="37"/>
      <c r="N317" s="37" t="s">
        <v>2759</v>
      </c>
      <c r="O317" s="37" t="s">
        <v>457</v>
      </c>
      <c r="P317" s="37" t="s">
        <v>711</v>
      </c>
      <c r="Q317" s="37"/>
      <c r="R317" s="36"/>
      <c r="S317" s="37"/>
      <c r="T317" s="36"/>
      <c r="U317" s="37" t="s">
        <v>1882</v>
      </c>
      <c r="V317" s="36">
        <v>43746</v>
      </c>
      <c r="W317" s="37"/>
      <c r="X317" s="36"/>
      <c r="Y317" s="37"/>
      <c r="Z317" s="37"/>
      <c r="AA317" s="37"/>
      <c r="AB317" s="37"/>
      <c r="AC317" s="39">
        <v>0</v>
      </c>
      <c r="AD317" s="37" t="str">
        <f t="shared" si="18"/>
        <v>0년 0개월</v>
      </c>
      <c r="AE317" s="39">
        <f ca="1">(재직자!$AL$1-J317)/30</f>
        <v>61.4</v>
      </c>
      <c r="AF317" s="37" t="str">
        <f t="shared" ca="1" si="19"/>
        <v>5년 1개월</v>
      </c>
      <c r="AG317" s="39">
        <f t="shared" ca="1" si="20"/>
        <v>61.4</v>
      </c>
      <c r="AH317" s="39" t="str">
        <f t="shared" ca="1" si="21"/>
        <v>5년 1개월</v>
      </c>
      <c r="AI317" s="44" t="s">
        <v>2760</v>
      </c>
      <c r="AJ317" s="37" t="s">
        <v>2761</v>
      </c>
      <c r="AK317" s="50" t="s">
        <v>2762</v>
      </c>
      <c r="AL317" s="37"/>
      <c r="AM317" s="37" t="s">
        <v>2763</v>
      </c>
      <c r="AN317" s="54" t="s">
        <v>2125</v>
      </c>
      <c r="AO317" s="32"/>
      <c r="AP317" s="32" t="s">
        <v>2190</v>
      </c>
      <c r="AQ317" s="32"/>
      <c r="AR317" s="32"/>
      <c r="AS317" s="32"/>
    </row>
    <row r="318" spans="1:54" ht="16.5" customHeight="1">
      <c r="A318" s="33" t="s">
        <v>602</v>
      </c>
      <c r="B318" s="33" t="s">
        <v>2764</v>
      </c>
      <c r="C318" s="33" t="s">
        <v>2051</v>
      </c>
      <c r="D318" s="108" t="s">
        <v>2765</v>
      </c>
      <c r="E318" s="34" t="s">
        <v>228</v>
      </c>
      <c r="F318" s="34" t="s">
        <v>2766</v>
      </c>
      <c r="G318" s="80" t="s">
        <v>52</v>
      </c>
      <c r="H318" s="34"/>
      <c r="I318" s="35" t="s">
        <v>2767</v>
      </c>
      <c r="J318" s="36">
        <v>43592</v>
      </c>
      <c r="K318" s="36"/>
      <c r="L318" s="36"/>
      <c r="M318" s="37" t="s">
        <v>146</v>
      </c>
      <c r="N318" s="37" t="s">
        <v>2768</v>
      </c>
      <c r="O318" s="38" t="s">
        <v>753</v>
      </c>
      <c r="P318" s="38" t="s">
        <v>870</v>
      </c>
      <c r="Q318" s="37" t="s">
        <v>265</v>
      </c>
      <c r="R318" s="36">
        <v>36210</v>
      </c>
      <c r="S318" s="37"/>
      <c r="T318" s="36"/>
      <c r="U318" s="37"/>
      <c r="V318" s="36"/>
      <c r="W318" s="37"/>
      <c r="X318" s="36"/>
      <c r="Y318" s="37"/>
      <c r="Z318" s="37"/>
      <c r="AA318" s="36"/>
      <c r="AB318" s="37"/>
      <c r="AC318" s="39">
        <v>190</v>
      </c>
      <c r="AD318" s="38" t="str">
        <f t="shared" si="18"/>
        <v>15년 10개월</v>
      </c>
      <c r="AE318" s="39">
        <f ca="1">(재직자!$AL$1-J318)/30</f>
        <v>84.066666666666663</v>
      </c>
      <c r="AF318" s="39" t="str">
        <f t="shared" ca="1" si="19"/>
        <v>7년 0개월</v>
      </c>
      <c r="AG318" s="39">
        <f t="shared" ca="1" si="20"/>
        <v>274.06666666666666</v>
      </c>
      <c r="AH318" s="39" t="str">
        <f t="shared" ca="1" si="21"/>
        <v>22년 10개월</v>
      </c>
      <c r="AI318" s="43" t="s">
        <v>2769</v>
      </c>
      <c r="AJ318" s="33" t="s">
        <v>2770</v>
      </c>
      <c r="AK318" s="62" t="s">
        <v>2771</v>
      </c>
      <c r="AL318" s="90"/>
      <c r="AM318" s="37" t="s">
        <v>2772</v>
      </c>
      <c r="AN318" s="54" t="s">
        <v>1817</v>
      </c>
      <c r="AO318" s="32"/>
      <c r="AP318" s="32" t="s">
        <v>2190</v>
      </c>
      <c r="AQ318" s="32"/>
      <c r="AR318" s="32"/>
      <c r="AS318" s="32"/>
    </row>
    <row r="319" spans="1:54" ht="16.5" customHeight="1">
      <c r="A319" s="33" t="s">
        <v>876</v>
      </c>
      <c r="B319" s="37">
        <v>200901</v>
      </c>
      <c r="C319" s="33" t="s">
        <v>924</v>
      </c>
      <c r="D319" s="104" t="s">
        <v>2773</v>
      </c>
      <c r="E319" s="37" t="s">
        <v>51</v>
      </c>
      <c r="F319" s="38"/>
      <c r="G319" s="80" t="s">
        <v>1878</v>
      </c>
      <c r="H319" s="34"/>
      <c r="I319" s="37" t="s">
        <v>2774</v>
      </c>
      <c r="J319" s="36">
        <v>44081</v>
      </c>
      <c r="K319" s="36"/>
      <c r="L319" s="36"/>
      <c r="M319" s="37" t="s">
        <v>146</v>
      </c>
      <c r="N319" s="37" t="s">
        <v>2775</v>
      </c>
      <c r="O319" s="37" t="s">
        <v>2776</v>
      </c>
      <c r="P319" s="37" t="s">
        <v>964</v>
      </c>
      <c r="Q319" s="37" t="s">
        <v>265</v>
      </c>
      <c r="R319" s="36">
        <v>42790</v>
      </c>
      <c r="S319" s="37"/>
      <c r="T319" s="36"/>
      <c r="U319" s="37"/>
      <c r="V319" s="36"/>
      <c r="W319" s="37"/>
      <c r="X319" s="37"/>
      <c r="Y319" s="37"/>
      <c r="Z319" s="37"/>
      <c r="AA319" s="37"/>
      <c r="AB319" s="37"/>
      <c r="AC319" s="39">
        <v>0</v>
      </c>
      <c r="AD319" s="37" t="str">
        <f t="shared" si="18"/>
        <v>0년 0개월</v>
      </c>
      <c r="AE319" s="39">
        <f ca="1">(재직자!$AL$1-J319)/30</f>
        <v>67.766666666666666</v>
      </c>
      <c r="AF319" s="37" t="str">
        <f t="shared" ca="1" si="19"/>
        <v>5년 7개월</v>
      </c>
      <c r="AG319" s="39">
        <f t="shared" ca="1" si="20"/>
        <v>67.766666666666666</v>
      </c>
      <c r="AH319" s="39" t="str">
        <f t="shared" ca="1" si="21"/>
        <v>5년 7개월</v>
      </c>
      <c r="AI319" s="44" t="s">
        <v>2777</v>
      </c>
      <c r="AJ319" s="37" t="s">
        <v>2778</v>
      </c>
      <c r="AK319" s="50" t="s">
        <v>2779</v>
      </c>
      <c r="AL319" s="37"/>
      <c r="AM319" s="37" t="s">
        <v>2780</v>
      </c>
      <c r="AN319" s="54" t="s">
        <v>2781</v>
      </c>
      <c r="AO319" s="32"/>
      <c r="AP319" s="32" t="s">
        <v>2190</v>
      </c>
      <c r="AQ319" s="32"/>
      <c r="AR319" s="32"/>
      <c r="AS319" s="32"/>
    </row>
    <row r="320" spans="1:54" ht="15.75" customHeight="1">
      <c r="A320" s="33" t="s">
        <v>2566</v>
      </c>
      <c r="B320" s="86">
        <v>230109</v>
      </c>
      <c r="C320" s="86" t="s">
        <v>2513</v>
      </c>
      <c r="D320" s="98" t="s">
        <v>2782</v>
      </c>
      <c r="E320" s="86" t="s">
        <v>51</v>
      </c>
      <c r="F320" s="37"/>
      <c r="G320" s="83" t="s">
        <v>2634</v>
      </c>
      <c r="H320" s="37"/>
      <c r="I320" s="86" t="s">
        <v>2783</v>
      </c>
      <c r="J320" s="85">
        <v>44945</v>
      </c>
      <c r="K320" s="36"/>
      <c r="L320" s="85">
        <v>45219</v>
      </c>
      <c r="M320" s="86" t="s">
        <v>153</v>
      </c>
      <c r="N320" s="86" t="s">
        <v>412</v>
      </c>
      <c r="O320" s="86" t="s">
        <v>2784</v>
      </c>
      <c r="P320" s="86" t="s">
        <v>711</v>
      </c>
      <c r="Q320" s="86" t="s">
        <v>209</v>
      </c>
      <c r="R320" s="85">
        <v>43144</v>
      </c>
      <c r="S320" s="86" t="s">
        <v>275</v>
      </c>
      <c r="T320" s="85">
        <v>42216</v>
      </c>
      <c r="U320" s="86" t="s">
        <v>2785</v>
      </c>
      <c r="V320" s="85">
        <v>43245</v>
      </c>
      <c r="W320" s="86" t="s">
        <v>2786</v>
      </c>
      <c r="X320" s="85">
        <v>42727</v>
      </c>
      <c r="Y320" s="37"/>
      <c r="Z320" s="37"/>
      <c r="AA320" s="37"/>
      <c r="AB320" s="37"/>
      <c r="AC320" s="91">
        <v>40</v>
      </c>
      <c r="AD320" s="38" t="str">
        <f t="shared" si="18"/>
        <v>3년 4개월</v>
      </c>
      <c r="AE320" s="39">
        <f ca="1">(재직자!$AL$1-J320)/30</f>
        <v>38.966666666666669</v>
      </c>
      <c r="AF320" s="39" t="str">
        <f t="shared" ca="1" si="19"/>
        <v>3년 2개월</v>
      </c>
      <c r="AG320" s="39">
        <f t="shared" ca="1" si="20"/>
        <v>78.966666666666669</v>
      </c>
      <c r="AH320" s="39" t="str">
        <f t="shared" ca="1" si="21"/>
        <v>6년 6개월</v>
      </c>
      <c r="AI320" s="96" t="s">
        <v>2787</v>
      </c>
      <c r="AJ320" s="86" t="s">
        <v>2788</v>
      </c>
      <c r="AK320" s="96" t="s">
        <v>2789</v>
      </c>
      <c r="AL320" s="37"/>
      <c r="AM320" s="86" t="s">
        <v>2790</v>
      </c>
      <c r="AN320" s="37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</row>
    <row r="321" spans="1:54" ht="15.75" customHeight="1">
      <c r="A321" s="33" t="s">
        <v>2512</v>
      </c>
      <c r="B321" s="86">
        <v>230401</v>
      </c>
      <c r="C321" s="86" t="s">
        <v>193</v>
      </c>
      <c r="D321" s="98" t="s">
        <v>2791</v>
      </c>
      <c r="E321" s="86" t="s">
        <v>51</v>
      </c>
      <c r="F321" s="37"/>
      <c r="G321" s="83" t="s">
        <v>2792</v>
      </c>
      <c r="H321" s="37"/>
      <c r="I321" s="86" t="s">
        <v>2793</v>
      </c>
      <c r="J321" s="85">
        <v>45019</v>
      </c>
      <c r="K321" s="36"/>
      <c r="L321" s="85">
        <v>45230</v>
      </c>
      <c r="M321" s="86" t="s">
        <v>448</v>
      </c>
      <c r="N321" s="86" t="s">
        <v>2794</v>
      </c>
      <c r="O321" s="37"/>
      <c r="P321" s="86" t="s">
        <v>711</v>
      </c>
      <c r="Q321" s="86" t="s">
        <v>448</v>
      </c>
      <c r="R321" s="85">
        <v>42040</v>
      </c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91">
        <v>21</v>
      </c>
      <c r="AD321" s="38" t="str">
        <f t="shared" si="18"/>
        <v>1년 9개월</v>
      </c>
      <c r="AE321" s="39">
        <f ca="1">(재직자!$AL$1-J321)/30</f>
        <v>36.5</v>
      </c>
      <c r="AF321" s="39" t="str">
        <f t="shared" ca="1" si="19"/>
        <v>3년 0개월</v>
      </c>
      <c r="AG321" s="39">
        <f t="shared" ca="1" si="20"/>
        <v>57.5</v>
      </c>
      <c r="AH321" s="39" t="str">
        <f t="shared" ca="1" si="21"/>
        <v>4년 9개월</v>
      </c>
      <c r="AI321" s="96" t="s">
        <v>2795</v>
      </c>
      <c r="AJ321" s="86" t="s">
        <v>2796</v>
      </c>
      <c r="AK321" s="96" t="s">
        <v>2797</v>
      </c>
      <c r="AL321" s="37"/>
      <c r="AM321" s="86" t="s">
        <v>2798</v>
      </c>
      <c r="AN321" s="37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</row>
    <row r="322" spans="1:54" ht="15.75" customHeight="1">
      <c r="A322" s="33" t="s">
        <v>2566</v>
      </c>
      <c r="B322" s="86">
        <v>230201</v>
      </c>
      <c r="C322" s="86" t="s">
        <v>2051</v>
      </c>
      <c r="D322" s="98" t="s">
        <v>2799</v>
      </c>
      <c r="E322" s="86" t="s">
        <v>228</v>
      </c>
      <c r="F322" s="37"/>
      <c r="G322" s="83" t="s">
        <v>2558</v>
      </c>
      <c r="H322" s="86" t="s">
        <v>2800</v>
      </c>
      <c r="I322" s="86" t="s">
        <v>2801</v>
      </c>
      <c r="J322" s="85">
        <v>44958</v>
      </c>
      <c r="K322" s="36"/>
      <c r="L322" s="85">
        <v>45259</v>
      </c>
      <c r="M322" s="86" t="s">
        <v>153</v>
      </c>
      <c r="N322" s="86" t="s">
        <v>2802</v>
      </c>
      <c r="O322" s="86" t="s">
        <v>2803</v>
      </c>
      <c r="P322" s="86" t="s">
        <v>1414</v>
      </c>
      <c r="Q322" s="86" t="s">
        <v>209</v>
      </c>
      <c r="R322" s="85">
        <v>37302</v>
      </c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91">
        <v>243</v>
      </c>
      <c r="AD322" s="38" t="str">
        <f t="shared" si="18"/>
        <v>20년 3개월</v>
      </c>
      <c r="AE322" s="39">
        <f ca="1">(재직자!$AL$1-J322)/30</f>
        <v>38.533333333333331</v>
      </c>
      <c r="AF322" s="39" t="str">
        <f t="shared" ca="1" si="19"/>
        <v>3년 2개월</v>
      </c>
      <c r="AG322" s="39">
        <f t="shared" ca="1" si="20"/>
        <v>281.5333333333333</v>
      </c>
      <c r="AH322" s="39" t="str">
        <f t="shared" ca="1" si="21"/>
        <v>23년 5개월</v>
      </c>
      <c r="AI322" s="96" t="s">
        <v>2804</v>
      </c>
      <c r="AJ322" s="86" t="s">
        <v>2805</v>
      </c>
      <c r="AK322" s="96" t="s">
        <v>2806</v>
      </c>
      <c r="AL322" s="37"/>
      <c r="AM322" s="86" t="s">
        <v>2807</v>
      </c>
      <c r="AN322" s="37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</row>
    <row r="323" spans="1:54" ht="20.25" customHeight="1">
      <c r="A323" s="33" t="s">
        <v>2018</v>
      </c>
      <c r="B323" s="81" t="s">
        <v>2808</v>
      </c>
      <c r="C323" s="81" t="s">
        <v>193</v>
      </c>
      <c r="D323" s="101" t="s">
        <v>2809</v>
      </c>
      <c r="E323" s="82" t="s">
        <v>51</v>
      </c>
      <c r="F323" s="34"/>
      <c r="G323" s="83" t="s">
        <v>2577</v>
      </c>
      <c r="H323" s="82" t="s">
        <v>2578</v>
      </c>
      <c r="I323" s="84" t="s">
        <v>2810</v>
      </c>
      <c r="J323" s="85">
        <v>44746</v>
      </c>
      <c r="K323" s="36"/>
      <c r="L323" s="85">
        <v>45286</v>
      </c>
      <c r="M323" s="86" t="s">
        <v>153</v>
      </c>
      <c r="N323" s="86" t="s">
        <v>1660</v>
      </c>
      <c r="O323" s="87" t="s">
        <v>617</v>
      </c>
      <c r="P323" s="87" t="s">
        <v>964</v>
      </c>
      <c r="Q323" s="86" t="s">
        <v>209</v>
      </c>
      <c r="R323" s="85">
        <v>43517</v>
      </c>
      <c r="S323" s="86" t="s">
        <v>275</v>
      </c>
      <c r="T323" s="85">
        <v>43693</v>
      </c>
      <c r="U323" s="86" t="s">
        <v>2811</v>
      </c>
      <c r="V323" s="85">
        <v>34273</v>
      </c>
      <c r="W323" s="86" t="s">
        <v>2812</v>
      </c>
      <c r="X323" s="85">
        <v>44918</v>
      </c>
      <c r="Y323" s="37"/>
      <c r="Z323" s="37"/>
      <c r="AA323" s="36"/>
      <c r="AB323" s="37"/>
      <c r="AC323" s="91">
        <v>0</v>
      </c>
      <c r="AD323" s="38" t="str">
        <f t="shared" si="18"/>
        <v>0년 0개월</v>
      </c>
      <c r="AE323" s="39">
        <f ca="1">(재직자!$AL$1-J323)/30</f>
        <v>45.6</v>
      </c>
      <c r="AF323" s="39" t="str">
        <f t="shared" ca="1" si="19"/>
        <v>3년 9개월</v>
      </c>
      <c r="AG323" s="39">
        <f t="shared" ca="1" si="20"/>
        <v>45.6</v>
      </c>
      <c r="AH323" s="39" t="str">
        <f t="shared" ca="1" si="21"/>
        <v>3년 9개월</v>
      </c>
      <c r="AI323" s="88" t="s">
        <v>2813</v>
      </c>
      <c r="AJ323" s="81" t="s">
        <v>2814</v>
      </c>
      <c r="AK323" s="89" t="s">
        <v>2815</v>
      </c>
      <c r="AL323" s="90"/>
      <c r="AM323" s="86" t="s">
        <v>2816</v>
      </c>
      <c r="AN323" s="54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</row>
    <row r="324" spans="1:54" ht="16.5" customHeight="1">
      <c r="A324" s="33" t="s">
        <v>2000</v>
      </c>
      <c r="B324" s="81" t="s">
        <v>2817</v>
      </c>
      <c r="C324" s="33" t="s">
        <v>2667</v>
      </c>
      <c r="D324" s="108" t="s">
        <v>2818</v>
      </c>
      <c r="E324" s="34" t="s">
        <v>625</v>
      </c>
      <c r="F324" s="34"/>
      <c r="G324" s="83" t="s">
        <v>2577</v>
      </c>
      <c r="H324" s="34"/>
      <c r="I324" s="84" t="s">
        <v>2819</v>
      </c>
      <c r="J324" s="36">
        <v>44714</v>
      </c>
      <c r="K324" s="36"/>
      <c r="L324" s="85">
        <v>45291</v>
      </c>
      <c r="M324" s="86" t="s">
        <v>196</v>
      </c>
      <c r="N324" s="37" t="s">
        <v>2820</v>
      </c>
      <c r="O324" s="38" t="s">
        <v>2821</v>
      </c>
      <c r="P324" s="38" t="s">
        <v>711</v>
      </c>
      <c r="Q324" s="37" t="s">
        <v>198</v>
      </c>
      <c r="R324" s="36">
        <v>43329</v>
      </c>
      <c r="S324" s="37" t="s">
        <v>275</v>
      </c>
      <c r="T324" s="36">
        <v>35002</v>
      </c>
      <c r="U324" s="37"/>
      <c r="V324" s="36"/>
      <c r="W324" s="37"/>
      <c r="X324" s="36"/>
      <c r="Y324" s="37" t="s">
        <v>199</v>
      </c>
      <c r="Z324" s="37"/>
      <c r="AA324" s="36"/>
      <c r="AB324" s="37"/>
      <c r="AC324" s="39">
        <f>12*25</f>
        <v>300</v>
      </c>
      <c r="AD324" s="38" t="str">
        <f t="shared" si="18"/>
        <v>25년 0개월</v>
      </c>
      <c r="AE324" s="39">
        <f ca="1">(재직자!$AL$1-J324)/30</f>
        <v>46.666666666666664</v>
      </c>
      <c r="AF324" s="39" t="str">
        <f t="shared" ca="1" si="19"/>
        <v>3년 10개월</v>
      </c>
      <c r="AG324" s="39">
        <f t="shared" ca="1" si="20"/>
        <v>346.66666666666669</v>
      </c>
      <c r="AH324" s="39" t="str">
        <f t="shared" ca="1" si="21"/>
        <v>28년 10개월</v>
      </c>
      <c r="AI324" s="110" t="s">
        <v>2822</v>
      </c>
      <c r="AJ324" s="33" t="s">
        <v>2823</v>
      </c>
      <c r="AK324" s="89" t="s">
        <v>2824</v>
      </c>
      <c r="AL324" s="90"/>
      <c r="AM324" s="37" t="s">
        <v>2825</v>
      </c>
      <c r="AN324" s="54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</row>
    <row r="325" spans="1:54" ht="16.5" customHeight="1">
      <c r="A325" s="33" t="s">
        <v>2479</v>
      </c>
      <c r="B325" s="81" t="s">
        <v>2826</v>
      </c>
      <c r="C325" s="33" t="s">
        <v>193</v>
      </c>
      <c r="D325" s="108" t="s">
        <v>2827</v>
      </c>
      <c r="E325" s="34" t="s">
        <v>88</v>
      </c>
      <c r="F325" s="34"/>
      <c r="G325" s="83" t="s">
        <v>2577</v>
      </c>
      <c r="H325" s="82" t="s">
        <v>2578</v>
      </c>
      <c r="I325" s="35" t="s">
        <v>2828</v>
      </c>
      <c r="J325" s="36">
        <v>44714</v>
      </c>
      <c r="K325" s="36"/>
      <c r="L325" s="85">
        <v>45291</v>
      </c>
      <c r="M325" s="86" t="s">
        <v>196</v>
      </c>
      <c r="N325" s="37" t="s">
        <v>2698</v>
      </c>
      <c r="O325" s="38" t="s">
        <v>2751</v>
      </c>
      <c r="P325" s="38" t="s">
        <v>870</v>
      </c>
      <c r="Q325" s="37" t="s">
        <v>198</v>
      </c>
      <c r="R325" s="36">
        <v>42419</v>
      </c>
      <c r="S325" s="37" t="s">
        <v>275</v>
      </c>
      <c r="T325" s="36">
        <v>41502</v>
      </c>
      <c r="U325" s="37"/>
      <c r="V325" s="36"/>
      <c r="W325" s="37"/>
      <c r="X325" s="36"/>
      <c r="Y325" s="37"/>
      <c r="Z325" s="37"/>
      <c r="AA325" s="36"/>
      <c r="AB325" s="37"/>
      <c r="AC325" s="39">
        <f>7*12</f>
        <v>84</v>
      </c>
      <c r="AD325" s="38" t="str">
        <f t="shared" si="18"/>
        <v>7년 0개월</v>
      </c>
      <c r="AE325" s="39">
        <f ca="1">(재직자!$AL$1-J325)/30</f>
        <v>46.666666666666664</v>
      </c>
      <c r="AF325" s="39" t="str">
        <f t="shared" ca="1" si="19"/>
        <v>3년 10개월</v>
      </c>
      <c r="AG325" s="39">
        <f t="shared" ca="1" si="20"/>
        <v>130.66666666666666</v>
      </c>
      <c r="AH325" s="39" t="str">
        <f t="shared" ca="1" si="21"/>
        <v>10년 10개월</v>
      </c>
      <c r="AI325" s="110" t="s">
        <v>2829</v>
      </c>
      <c r="AJ325" s="33" t="s">
        <v>2830</v>
      </c>
      <c r="AK325" s="89" t="s">
        <v>2831</v>
      </c>
      <c r="AL325" s="90"/>
      <c r="AM325" s="37" t="s">
        <v>2832</v>
      </c>
      <c r="AN325" s="54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</row>
    <row r="326" spans="1:54" ht="16.5" customHeight="1">
      <c r="A326" s="33" t="s">
        <v>1944</v>
      </c>
      <c r="B326" s="37">
        <v>220207</v>
      </c>
      <c r="C326" s="33" t="s">
        <v>924</v>
      </c>
      <c r="D326" s="104" t="s">
        <v>2833</v>
      </c>
      <c r="E326" s="37" t="s">
        <v>44</v>
      </c>
      <c r="F326" s="38"/>
      <c r="G326" s="80" t="s">
        <v>1644</v>
      </c>
      <c r="H326" s="34"/>
      <c r="I326" s="37" t="s">
        <v>2834</v>
      </c>
      <c r="J326" s="36">
        <v>44616</v>
      </c>
      <c r="K326" s="36"/>
      <c r="L326" s="85">
        <v>45260</v>
      </c>
      <c r="M326" s="37" t="s">
        <v>153</v>
      </c>
      <c r="N326" s="37" t="s">
        <v>2835</v>
      </c>
      <c r="O326" s="37" t="s">
        <v>1451</v>
      </c>
      <c r="P326" s="37" t="s">
        <v>1134</v>
      </c>
      <c r="Q326" s="37" t="s">
        <v>209</v>
      </c>
      <c r="R326" s="36"/>
      <c r="S326" s="37" t="s">
        <v>569</v>
      </c>
      <c r="T326" s="36">
        <v>37518</v>
      </c>
      <c r="U326" s="37"/>
      <c r="V326" s="36"/>
      <c r="W326" s="37"/>
      <c r="X326" s="36"/>
      <c r="Y326" s="37"/>
      <c r="Z326" s="37"/>
      <c r="AA326" s="37"/>
      <c r="AB326" s="37"/>
      <c r="AC326" s="39">
        <v>92</v>
      </c>
      <c r="AD326" s="37" t="str">
        <f t="shared" si="18"/>
        <v>7년 8개월</v>
      </c>
      <c r="AE326" s="39">
        <f ca="1">(재직자!$AL$1-J326)/30</f>
        <v>49.93333333333333</v>
      </c>
      <c r="AF326" s="39" t="str">
        <f t="shared" ca="1" si="19"/>
        <v>4년 1개월</v>
      </c>
      <c r="AG326" s="39">
        <f t="shared" ca="1" si="20"/>
        <v>141.93333333333334</v>
      </c>
      <c r="AH326" s="39" t="str">
        <f t="shared" ca="1" si="21"/>
        <v>11년 9개월</v>
      </c>
      <c r="AI326" s="44" t="s">
        <v>2836</v>
      </c>
      <c r="AJ326" s="37" t="s">
        <v>2837</v>
      </c>
      <c r="AK326" s="50" t="s">
        <v>2838</v>
      </c>
      <c r="AL326" s="37"/>
      <c r="AM326" s="37" t="s">
        <v>2839</v>
      </c>
      <c r="AN326" s="54" t="s">
        <v>2840</v>
      </c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</row>
    <row r="327" spans="1:54" ht="16.5" customHeight="1">
      <c r="A327" s="33" t="s">
        <v>280</v>
      </c>
      <c r="B327" s="37">
        <v>210406</v>
      </c>
      <c r="C327" s="33" t="s">
        <v>2369</v>
      </c>
      <c r="D327" s="104" t="s">
        <v>2841</v>
      </c>
      <c r="E327" s="37" t="s">
        <v>625</v>
      </c>
      <c r="F327" s="38"/>
      <c r="G327" s="80" t="s">
        <v>120</v>
      </c>
      <c r="H327" s="34"/>
      <c r="I327" s="37" t="s">
        <v>2842</v>
      </c>
      <c r="J327" s="36">
        <v>44305</v>
      </c>
      <c r="K327" s="36">
        <v>44562</v>
      </c>
      <c r="L327" s="85">
        <v>45291</v>
      </c>
      <c r="M327" s="37" t="s">
        <v>153</v>
      </c>
      <c r="N327" s="37" t="s">
        <v>893</v>
      </c>
      <c r="O327" s="37" t="s">
        <v>2662</v>
      </c>
      <c r="P327" s="37" t="s">
        <v>964</v>
      </c>
      <c r="Q327" s="37" t="s">
        <v>209</v>
      </c>
      <c r="R327" s="36">
        <v>35846</v>
      </c>
      <c r="S327" s="37"/>
      <c r="T327" s="36"/>
      <c r="U327" s="37"/>
      <c r="V327" s="36"/>
      <c r="W327" s="37"/>
      <c r="X327" s="36"/>
      <c r="Y327" s="37"/>
      <c r="Z327" s="37"/>
      <c r="AA327" s="37"/>
      <c r="AB327" s="37"/>
      <c r="AC327" s="39">
        <v>255</v>
      </c>
      <c r="AD327" s="37" t="str">
        <f t="shared" si="18"/>
        <v>21년 3개월</v>
      </c>
      <c r="AE327" s="39">
        <f ca="1">(재직자!$AL$1-J327)/30</f>
        <v>60.3</v>
      </c>
      <c r="AF327" s="37" t="str">
        <f t="shared" ca="1" si="19"/>
        <v>5년 0개월</v>
      </c>
      <c r="AG327" s="39">
        <f t="shared" ca="1" si="20"/>
        <v>315.3</v>
      </c>
      <c r="AH327" s="39" t="str">
        <f t="shared" ca="1" si="21"/>
        <v>26년 3개월</v>
      </c>
      <c r="AI327" s="44" t="s">
        <v>2843</v>
      </c>
      <c r="AJ327" s="37" t="s">
        <v>2844</v>
      </c>
      <c r="AK327" s="50" t="s">
        <v>2845</v>
      </c>
      <c r="AL327" s="37"/>
      <c r="AM327" s="37" t="s">
        <v>2846</v>
      </c>
      <c r="AN327" s="54" t="s">
        <v>2847</v>
      </c>
      <c r="AO327" s="32"/>
      <c r="AP327" s="32" t="s">
        <v>2190</v>
      </c>
      <c r="AQ327" s="32"/>
      <c r="AR327" s="32"/>
      <c r="AS327" s="32"/>
      <c r="AT327" s="32"/>
      <c r="AU327" s="32"/>
      <c r="AV327" s="32"/>
      <c r="AW327" s="32"/>
      <c r="AX327" s="32"/>
      <c r="AY327" s="32"/>
    </row>
    <row r="328" spans="1:54" ht="15.75" customHeight="1">
      <c r="A328" s="33" t="s">
        <v>2368</v>
      </c>
      <c r="B328" s="86">
        <v>230104</v>
      </c>
      <c r="C328" s="86" t="s">
        <v>193</v>
      </c>
      <c r="D328" s="98" t="s">
        <v>2848</v>
      </c>
      <c r="E328" s="86" t="s">
        <v>51</v>
      </c>
      <c r="F328" s="37"/>
      <c r="G328" s="83" t="s">
        <v>2558</v>
      </c>
      <c r="H328" s="37"/>
      <c r="I328" s="86" t="s">
        <v>2849</v>
      </c>
      <c r="J328" s="85">
        <v>44928</v>
      </c>
      <c r="K328" s="36"/>
      <c r="L328" s="85">
        <v>45301</v>
      </c>
      <c r="M328" s="86" t="s">
        <v>265</v>
      </c>
      <c r="N328" s="86" t="s">
        <v>2850</v>
      </c>
      <c r="O328" s="86" t="s">
        <v>2851</v>
      </c>
      <c r="P328" s="86" t="s">
        <v>964</v>
      </c>
      <c r="Q328" s="86" t="s">
        <v>265</v>
      </c>
      <c r="R328" s="85">
        <v>44960</v>
      </c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91">
        <v>0</v>
      </c>
      <c r="AD328" s="38" t="str">
        <f t="shared" si="18"/>
        <v>0년 0개월</v>
      </c>
      <c r="AE328" s="39">
        <f ca="1">(재직자!$AL$1-J328)/30</f>
        <v>39.533333333333331</v>
      </c>
      <c r="AF328" s="39" t="str">
        <f t="shared" ca="1" si="19"/>
        <v>3년 3개월</v>
      </c>
      <c r="AG328" s="39">
        <f t="shared" ca="1" si="20"/>
        <v>39.533333333333331</v>
      </c>
      <c r="AH328" s="39" t="str">
        <f t="shared" ca="1" si="21"/>
        <v>3년 3개월</v>
      </c>
      <c r="AI328" s="96" t="s">
        <v>2852</v>
      </c>
      <c r="AJ328" s="86" t="s">
        <v>2853</v>
      </c>
      <c r="AK328" s="96" t="s">
        <v>2854</v>
      </c>
      <c r="AL328" s="37"/>
      <c r="AM328" s="86" t="s">
        <v>2855</v>
      </c>
      <c r="AN328" s="37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</row>
    <row r="329" spans="1:54" ht="15.75" customHeight="1">
      <c r="A329" s="33" t="s">
        <v>2018</v>
      </c>
      <c r="B329" s="81" t="s">
        <v>2856</v>
      </c>
      <c r="C329" s="81" t="s">
        <v>193</v>
      </c>
      <c r="D329" s="101" t="s">
        <v>2857</v>
      </c>
      <c r="E329" s="82" t="s">
        <v>51</v>
      </c>
      <c r="F329" s="34"/>
      <c r="G329" s="83" t="s">
        <v>2634</v>
      </c>
      <c r="H329" s="82" t="s">
        <v>2635</v>
      </c>
      <c r="I329" s="84" t="s">
        <v>2858</v>
      </c>
      <c r="J329" s="85">
        <v>44809</v>
      </c>
      <c r="K329" s="36"/>
      <c r="L329" s="85">
        <v>45180</v>
      </c>
      <c r="M329" s="86" t="s">
        <v>153</v>
      </c>
      <c r="N329" s="86" t="s">
        <v>893</v>
      </c>
      <c r="O329" s="87" t="s">
        <v>617</v>
      </c>
      <c r="P329" s="87" t="s">
        <v>964</v>
      </c>
      <c r="Q329" s="86" t="s">
        <v>209</v>
      </c>
      <c r="R329" s="85">
        <v>44799</v>
      </c>
      <c r="S329" s="86" t="s">
        <v>2859</v>
      </c>
      <c r="T329" s="85">
        <v>44736</v>
      </c>
      <c r="U329" s="37"/>
      <c r="V329" s="36"/>
      <c r="W329" s="37"/>
      <c r="X329" s="36"/>
      <c r="Y329" s="37"/>
      <c r="Z329" s="37"/>
      <c r="AA329" s="36"/>
      <c r="AB329" s="37"/>
      <c r="AC329" s="91">
        <v>0</v>
      </c>
      <c r="AD329" s="38" t="str">
        <f t="shared" si="18"/>
        <v>0년 0개월</v>
      </c>
      <c r="AE329" s="39">
        <f ca="1">(재직자!$AL$1-J329)/30</f>
        <v>43.5</v>
      </c>
      <c r="AF329" s="39" t="str">
        <f t="shared" ca="1" si="19"/>
        <v>3년 7개월</v>
      </c>
      <c r="AG329" s="39">
        <f t="shared" ca="1" si="20"/>
        <v>43.5</v>
      </c>
      <c r="AH329" s="39" t="str">
        <f t="shared" ca="1" si="21"/>
        <v>3년 7개월</v>
      </c>
      <c r="AI329" s="96" t="s">
        <v>2860</v>
      </c>
      <c r="AJ329" s="86" t="s">
        <v>2861</v>
      </c>
      <c r="AK329" s="96" t="s">
        <v>2862</v>
      </c>
      <c r="AL329" s="37"/>
      <c r="AM329" s="86" t="s">
        <v>2863</v>
      </c>
      <c r="AN329" s="37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</row>
    <row r="330" spans="1:54" ht="15.75" customHeight="1">
      <c r="A330" s="33" t="s">
        <v>2590</v>
      </c>
      <c r="B330" s="86">
        <v>230108</v>
      </c>
      <c r="C330" s="86" t="s">
        <v>2864</v>
      </c>
      <c r="D330" s="98" t="s">
        <v>2865</v>
      </c>
      <c r="E330" s="86" t="s">
        <v>51</v>
      </c>
      <c r="F330" s="37"/>
      <c r="G330" s="83" t="s">
        <v>2427</v>
      </c>
      <c r="H330" s="86" t="s">
        <v>2569</v>
      </c>
      <c r="I330" s="86" t="s">
        <v>2866</v>
      </c>
      <c r="J330" s="85">
        <v>44942</v>
      </c>
      <c r="K330" s="36"/>
      <c r="L330" s="85">
        <v>45260</v>
      </c>
      <c r="M330" s="86" t="s">
        <v>265</v>
      </c>
      <c r="N330" s="86" t="s">
        <v>2867</v>
      </c>
      <c r="O330" s="86" t="s">
        <v>2868</v>
      </c>
      <c r="P330" s="86" t="s">
        <v>1873</v>
      </c>
      <c r="Q330" s="86" t="s">
        <v>2680</v>
      </c>
      <c r="R330" s="37"/>
      <c r="S330" s="86" t="s">
        <v>569</v>
      </c>
      <c r="T330" s="85">
        <v>40241</v>
      </c>
      <c r="U330" s="86" t="s">
        <v>1113</v>
      </c>
      <c r="V330" s="85">
        <v>40746</v>
      </c>
      <c r="W330" s="37"/>
      <c r="X330" s="37"/>
      <c r="Y330" s="37"/>
      <c r="Z330" s="37"/>
      <c r="AA330" s="37"/>
      <c r="AB330" s="37"/>
      <c r="AC330" s="91">
        <v>24</v>
      </c>
      <c r="AD330" s="38" t="str">
        <f t="shared" si="18"/>
        <v>2년 0개월</v>
      </c>
      <c r="AE330" s="39">
        <f ca="1">(재직자!$AL$1-J330)/30</f>
        <v>39.06666666666667</v>
      </c>
      <c r="AF330" s="39" t="str">
        <f t="shared" ca="1" si="19"/>
        <v>3년 3개월</v>
      </c>
      <c r="AG330" s="39">
        <f t="shared" ca="1" si="20"/>
        <v>63.06666666666667</v>
      </c>
      <c r="AH330" s="39" t="str">
        <f t="shared" ca="1" si="21"/>
        <v>5년 3개월</v>
      </c>
      <c r="AI330" s="96" t="s">
        <v>2869</v>
      </c>
      <c r="AJ330" s="86" t="s">
        <v>2870</v>
      </c>
      <c r="AK330" s="96" t="s">
        <v>2871</v>
      </c>
      <c r="AL330" s="37"/>
      <c r="AM330" s="86" t="s">
        <v>2872</v>
      </c>
      <c r="AN330" s="37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</row>
    <row r="331" spans="1:54" ht="15.75" customHeight="1">
      <c r="A331" s="111" t="s">
        <v>2512</v>
      </c>
      <c r="B331" s="86">
        <v>230903</v>
      </c>
      <c r="C331" s="86" t="s">
        <v>193</v>
      </c>
      <c r="D331" s="98" t="s">
        <v>2873</v>
      </c>
      <c r="E331" s="86" t="s">
        <v>51</v>
      </c>
      <c r="F331" s="37"/>
      <c r="G331" s="83" t="s">
        <v>2874</v>
      </c>
      <c r="H331" s="86" t="s">
        <v>2875</v>
      </c>
      <c r="I331" s="86" t="s">
        <v>2876</v>
      </c>
      <c r="J331" s="85">
        <v>45187</v>
      </c>
      <c r="K331" s="36"/>
      <c r="L331" s="37"/>
      <c r="M331" s="86" t="s">
        <v>153</v>
      </c>
      <c r="N331" s="86" t="s">
        <v>2877</v>
      </c>
      <c r="O331" s="86" t="s">
        <v>2878</v>
      </c>
      <c r="P331" s="86" t="s">
        <v>2879</v>
      </c>
      <c r="Q331" s="86" t="s">
        <v>209</v>
      </c>
      <c r="R331" s="85">
        <v>45338</v>
      </c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91">
        <v>0</v>
      </c>
      <c r="AD331" s="38" t="str">
        <f t="shared" si="18"/>
        <v>0년 0개월</v>
      </c>
      <c r="AE331" s="39">
        <f ca="1">(재직자!$AL$1-J331)/30</f>
        <v>30.9</v>
      </c>
      <c r="AF331" s="39" t="str">
        <f t="shared" ca="1" si="19"/>
        <v>2년 6개월</v>
      </c>
      <c r="AG331" s="39">
        <f t="shared" ca="1" si="20"/>
        <v>30.9</v>
      </c>
      <c r="AH331" s="39" t="str">
        <f t="shared" ca="1" si="21"/>
        <v>2년 6개월</v>
      </c>
      <c r="AI331" s="96" t="s">
        <v>2880</v>
      </c>
      <c r="AJ331" s="86" t="s">
        <v>2881</v>
      </c>
      <c r="AK331" s="96" t="s">
        <v>2882</v>
      </c>
      <c r="AL331" s="37"/>
      <c r="AM331" s="86" t="s">
        <v>2883</v>
      </c>
      <c r="AN331" s="37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</row>
    <row r="332" spans="1:54" ht="16.5" customHeight="1">
      <c r="A332" s="112" t="s">
        <v>160</v>
      </c>
      <c r="B332" s="33" t="s">
        <v>2884</v>
      </c>
      <c r="C332" s="33" t="s">
        <v>193</v>
      </c>
      <c r="D332" s="108" t="s">
        <v>2885</v>
      </c>
      <c r="E332" s="34" t="s">
        <v>88</v>
      </c>
      <c r="F332" s="34"/>
      <c r="G332" s="80" t="s">
        <v>1644</v>
      </c>
      <c r="H332" s="34"/>
      <c r="I332" s="35" t="s">
        <v>2886</v>
      </c>
      <c r="J332" s="36">
        <v>42989</v>
      </c>
      <c r="K332" s="36">
        <v>44228</v>
      </c>
      <c r="L332" s="85">
        <v>45334</v>
      </c>
      <c r="M332" s="37" t="s">
        <v>153</v>
      </c>
      <c r="N332" s="37" t="s">
        <v>2887</v>
      </c>
      <c r="O332" s="38" t="s">
        <v>2888</v>
      </c>
      <c r="P332" s="38" t="s">
        <v>2412</v>
      </c>
      <c r="Q332" s="37" t="s">
        <v>209</v>
      </c>
      <c r="R332" s="36">
        <v>41330</v>
      </c>
      <c r="S332" s="37"/>
      <c r="T332" s="36"/>
      <c r="U332" s="37"/>
      <c r="V332" s="36"/>
      <c r="W332" s="37"/>
      <c r="X332" s="36"/>
      <c r="Y332" s="86" t="s">
        <v>2889</v>
      </c>
      <c r="Z332" s="37"/>
      <c r="AA332" s="36"/>
      <c r="AB332" s="37"/>
      <c r="AC332" s="39">
        <v>46</v>
      </c>
      <c r="AD332" s="38" t="str">
        <f t="shared" si="18"/>
        <v>3년 10개월</v>
      </c>
      <c r="AE332" s="39">
        <f ca="1">(재직자!$AL$1-J332)/30</f>
        <v>104.16666666666667</v>
      </c>
      <c r="AF332" s="39" t="str">
        <f t="shared" ca="1" si="19"/>
        <v>8년 8개월</v>
      </c>
      <c r="AG332" s="39">
        <f t="shared" ca="1" si="20"/>
        <v>150.16666666666669</v>
      </c>
      <c r="AH332" s="39" t="str">
        <f t="shared" ca="1" si="21"/>
        <v>12년 6개월</v>
      </c>
      <c r="AI332" s="43" t="s">
        <v>2890</v>
      </c>
      <c r="AJ332" s="33" t="s">
        <v>2891</v>
      </c>
      <c r="AK332" s="62" t="s">
        <v>2892</v>
      </c>
      <c r="AL332" s="37"/>
      <c r="AM332" s="37" t="s">
        <v>2893</v>
      </c>
      <c r="AN332" s="54" t="s">
        <v>2344</v>
      </c>
      <c r="AO332" s="32"/>
      <c r="AP332" s="32" t="s">
        <v>2190</v>
      </c>
      <c r="AQ332" s="32"/>
      <c r="AR332" s="32"/>
      <c r="AS332" s="32"/>
      <c r="AT332" s="32"/>
      <c r="AU332" s="32"/>
      <c r="AV332" s="32"/>
      <c r="AW332" s="32"/>
      <c r="AX332" s="32"/>
      <c r="AY332" s="32"/>
    </row>
    <row r="333" spans="1:54" ht="16.5" customHeight="1">
      <c r="A333" s="33" t="s">
        <v>748</v>
      </c>
      <c r="B333" s="37">
        <v>210102</v>
      </c>
      <c r="C333" s="33" t="s">
        <v>193</v>
      </c>
      <c r="D333" s="104" t="s">
        <v>2894</v>
      </c>
      <c r="E333" s="37" t="s">
        <v>88</v>
      </c>
      <c r="F333" s="38" t="s">
        <v>2895</v>
      </c>
      <c r="G333" s="80" t="s">
        <v>1685</v>
      </c>
      <c r="H333" s="34"/>
      <c r="I333" s="37" t="s">
        <v>2896</v>
      </c>
      <c r="J333" s="36">
        <v>44209</v>
      </c>
      <c r="K333" s="36"/>
      <c r="L333" s="85">
        <v>45338</v>
      </c>
      <c r="M333" s="37" t="s">
        <v>146</v>
      </c>
      <c r="N333" s="37" t="s">
        <v>429</v>
      </c>
      <c r="O333" s="37" t="s">
        <v>2723</v>
      </c>
      <c r="P333" s="37" t="s">
        <v>711</v>
      </c>
      <c r="Q333" s="37" t="s">
        <v>265</v>
      </c>
      <c r="R333" s="36">
        <v>40585</v>
      </c>
      <c r="S333" s="37"/>
      <c r="T333" s="36"/>
      <c r="U333" s="37"/>
      <c r="V333" s="36"/>
      <c r="W333" s="37"/>
      <c r="X333" s="36"/>
      <c r="Y333" s="37"/>
      <c r="Z333" s="37"/>
      <c r="AA333" s="37"/>
      <c r="AB333" s="37"/>
      <c r="AC333" s="39">
        <v>101</v>
      </c>
      <c r="AD333" s="37" t="str">
        <f t="shared" si="18"/>
        <v>8년 5개월</v>
      </c>
      <c r="AE333" s="39">
        <f ca="1">(재직자!$AL$1-J333)/30</f>
        <v>63.5</v>
      </c>
      <c r="AF333" s="37" t="str">
        <f t="shared" ca="1" si="19"/>
        <v>5년 3개월</v>
      </c>
      <c r="AG333" s="39">
        <f t="shared" ca="1" si="20"/>
        <v>164.5</v>
      </c>
      <c r="AH333" s="39" t="str">
        <f t="shared" ca="1" si="21"/>
        <v>13년 8개월</v>
      </c>
      <c r="AI333" s="44" t="s">
        <v>2897</v>
      </c>
      <c r="AJ333" s="37" t="s">
        <v>2898</v>
      </c>
      <c r="AK333" s="50" t="s">
        <v>2899</v>
      </c>
      <c r="AL333" s="37"/>
      <c r="AM333" s="37" t="s">
        <v>2900</v>
      </c>
      <c r="AN333" s="54" t="s">
        <v>2901</v>
      </c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</row>
    <row r="334" spans="1:54" ht="15.75" customHeight="1">
      <c r="A334" s="33" t="s">
        <v>2902</v>
      </c>
      <c r="B334" s="86">
        <v>231101</v>
      </c>
      <c r="C334" s="86" t="s">
        <v>2369</v>
      </c>
      <c r="D334" s="98" t="s">
        <v>2903</v>
      </c>
      <c r="E334" s="86" t="s">
        <v>472</v>
      </c>
      <c r="F334" s="37"/>
      <c r="G334" s="83" t="s">
        <v>2402</v>
      </c>
      <c r="H334" s="37"/>
      <c r="I334" s="86" t="s">
        <v>2904</v>
      </c>
      <c r="J334" s="85">
        <v>45231</v>
      </c>
      <c r="K334" s="36"/>
      <c r="L334" s="85">
        <v>45342</v>
      </c>
      <c r="M334" s="86" t="s">
        <v>153</v>
      </c>
      <c r="N334" s="86" t="s">
        <v>1496</v>
      </c>
      <c r="O334" s="86" t="s">
        <v>2905</v>
      </c>
      <c r="P334" s="86" t="s">
        <v>1414</v>
      </c>
      <c r="Q334" s="86" t="s">
        <v>209</v>
      </c>
      <c r="R334" s="100">
        <v>33635</v>
      </c>
      <c r="S334" s="86" t="s">
        <v>2906</v>
      </c>
      <c r="T334" s="100">
        <v>37347</v>
      </c>
      <c r="U334" s="86" t="s">
        <v>2907</v>
      </c>
      <c r="V334" s="100">
        <v>44287</v>
      </c>
      <c r="W334" s="86" t="s">
        <v>2908</v>
      </c>
      <c r="X334" s="113">
        <v>36495</v>
      </c>
      <c r="Y334" s="37"/>
      <c r="Z334" s="37"/>
      <c r="AA334" s="37"/>
      <c r="AB334" s="37"/>
      <c r="AC334" s="91">
        <v>267.8</v>
      </c>
      <c r="AD334" s="38" t="str">
        <f t="shared" si="18"/>
        <v>22년 3개월</v>
      </c>
      <c r="AE334" s="39">
        <f ca="1">(재직자!$AL$1-J334)/30</f>
        <v>29.433333333333334</v>
      </c>
      <c r="AF334" s="39" t="str">
        <f t="shared" ca="1" si="19"/>
        <v>2년 5개월</v>
      </c>
      <c r="AG334" s="39">
        <f t="shared" ca="1" si="20"/>
        <v>297.23333333333335</v>
      </c>
      <c r="AH334" s="39" t="str">
        <f t="shared" ca="1" si="21"/>
        <v>24년 9개월</v>
      </c>
      <c r="AI334" s="96" t="s">
        <v>2909</v>
      </c>
      <c r="AJ334" s="86" t="s">
        <v>2910</v>
      </c>
      <c r="AK334" s="96" t="s">
        <v>2911</v>
      </c>
      <c r="AL334" s="37"/>
      <c r="AM334" s="86" t="s">
        <v>2912</v>
      </c>
      <c r="AN334" s="37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</row>
    <row r="335" spans="1:54" ht="15.75" customHeight="1">
      <c r="A335" s="33" t="s">
        <v>2079</v>
      </c>
      <c r="B335" s="81" t="s">
        <v>2913</v>
      </c>
      <c r="C335" s="81" t="s">
        <v>193</v>
      </c>
      <c r="D335" s="101" t="s">
        <v>2914</v>
      </c>
      <c r="E335" s="82" t="s">
        <v>34</v>
      </c>
      <c r="F335" s="34"/>
      <c r="G335" s="83" t="s">
        <v>2463</v>
      </c>
      <c r="H335" s="93" t="s">
        <v>2464</v>
      </c>
      <c r="I335" s="84" t="s">
        <v>2915</v>
      </c>
      <c r="J335" s="85">
        <v>44760</v>
      </c>
      <c r="K335" s="36"/>
      <c r="L335" s="85">
        <v>45338</v>
      </c>
      <c r="M335" s="86" t="s">
        <v>146</v>
      </c>
      <c r="N335" s="86" t="s">
        <v>2916</v>
      </c>
      <c r="O335" s="87" t="s">
        <v>2917</v>
      </c>
      <c r="P335" s="87" t="s">
        <v>964</v>
      </c>
      <c r="Q335" s="86" t="s">
        <v>265</v>
      </c>
      <c r="R335" s="85">
        <v>38037</v>
      </c>
      <c r="S335" s="37"/>
      <c r="T335" s="36"/>
      <c r="U335" s="37"/>
      <c r="V335" s="36"/>
      <c r="W335" s="37"/>
      <c r="X335" s="36"/>
      <c r="Y335" s="37"/>
      <c r="Z335" s="37"/>
      <c r="AA335" s="36"/>
      <c r="AB335" s="37"/>
      <c r="AC335" s="91">
        <v>183</v>
      </c>
      <c r="AD335" s="38" t="str">
        <f t="shared" si="18"/>
        <v>15년 3개월</v>
      </c>
      <c r="AE335" s="39">
        <f ca="1">(재직자!$AL$1-J335)/30</f>
        <v>45.133333333333333</v>
      </c>
      <c r="AF335" s="39" t="str">
        <f t="shared" ca="1" si="19"/>
        <v>3년 9개월</v>
      </c>
      <c r="AG335" s="39">
        <f t="shared" ca="1" si="20"/>
        <v>228.13333333333333</v>
      </c>
      <c r="AH335" s="39" t="str">
        <f t="shared" ca="1" si="21"/>
        <v>19년 0개월</v>
      </c>
      <c r="AI335" s="88" t="s">
        <v>2918</v>
      </c>
      <c r="AJ335" s="81" t="s">
        <v>2919</v>
      </c>
      <c r="AK335" s="89" t="s">
        <v>2920</v>
      </c>
      <c r="AL335" s="90"/>
      <c r="AM335" s="86" t="s">
        <v>2921</v>
      </c>
      <c r="AN335" s="54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</row>
    <row r="336" spans="1:54" ht="15.75" customHeight="1">
      <c r="A336" s="81" t="s">
        <v>2352</v>
      </c>
      <c r="B336" s="86">
        <v>230302</v>
      </c>
      <c r="C336" s="114" t="s">
        <v>193</v>
      </c>
      <c r="D336" s="98" t="s">
        <v>2922</v>
      </c>
      <c r="E336" s="86" t="s">
        <v>51</v>
      </c>
      <c r="F336" s="37"/>
      <c r="G336" s="83" t="s">
        <v>2923</v>
      </c>
      <c r="H336" s="37"/>
      <c r="I336" s="86" t="s">
        <v>2924</v>
      </c>
      <c r="J336" s="85">
        <v>44987</v>
      </c>
      <c r="K336" s="36"/>
      <c r="L336" s="85">
        <v>45351</v>
      </c>
      <c r="M336" s="86" t="s">
        <v>153</v>
      </c>
      <c r="N336" s="86" t="s">
        <v>2925</v>
      </c>
      <c r="O336" s="86" t="s">
        <v>2926</v>
      </c>
      <c r="P336" s="86" t="s">
        <v>711</v>
      </c>
      <c r="Q336" s="86" t="s">
        <v>209</v>
      </c>
      <c r="R336" s="85">
        <v>44958</v>
      </c>
      <c r="S336" s="86" t="s">
        <v>275</v>
      </c>
      <c r="T336" s="85">
        <v>44890</v>
      </c>
      <c r="U336" s="86" t="s">
        <v>2927</v>
      </c>
      <c r="V336" s="85">
        <v>43445</v>
      </c>
      <c r="W336" s="86" t="s">
        <v>2928</v>
      </c>
      <c r="X336" s="85">
        <v>44456</v>
      </c>
      <c r="Y336" s="37"/>
      <c r="Z336" s="37"/>
      <c r="AA336" s="37"/>
      <c r="AB336" s="37"/>
      <c r="AC336" s="91">
        <v>0</v>
      </c>
      <c r="AD336" s="38" t="str">
        <f t="shared" si="18"/>
        <v>0년 0개월</v>
      </c>
      <c r="AE336" s="39">
        <f ca="1">(재직자!$AL$1-J336)/30</f>
        <v>37.56666666666667</v>
      </c>
      <c r="AF336" s="39" t="str">
        <f t="shared" ca="1" si="19"/>
        <v>3년 1개월</v>
      </c>
      <c r="AG336" s="39">
        <f t="shared" ca="1" si="20"/>
        <v>37.56666666666667</v>
      </c>
      <c r="AH336" s="39" t="str">
        <f t="shared" ca="1" si="21"/>
        <v>3년 1개월</v>
      </c>
      <c r="AI336" s="96" t="s">
        <v>2929</v>
      </c>
      <c r="AJ336" s="86" t="s">
        <v>2930</v>
      </c>
      <c r="AK336" s="96" t="s">
        <v>2023</v>
      </c>
      <c r="AL336" s="37"/>
      <c r="AM336" s="86" t="s">
        <v>2931</v>
      </c>
      <c r="AN336" s="37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</row>
    <row r="337" spans="1:51" ht="16.5" customHeight="1">
      <c r="A337" s="81" t="s">
        <v>1314</v>
      </c>
      <c r="B337" s="37">
        <v>200502</v>
      </c>
      <c r="C337" s="112" t="s">
        <v>193</v>
      </c>
      <c r="D337" s="104" t="s">
        <v>2932</v>
      </c>
      <c r="E337" s="37" t="s">
        <v>51</v>
      </c>
      <c r="F337" s="38"/>
      <c r="G337" s="80" t="s">
        <v>52</v>
      </c>
      <c r="H337" s="34"/>
      <c r="I337" s="37" t="s">
        <v>2933</v>
      </c>
      <c r="J337" s="36">
        <v>43962</v>
      </c>
      <c r="K337" s="36"/>
      <c r="L337" s="85">
        <v>45351</v>
      </c>
      <c r="M337" s="37" t="s">
        <v>146</v>
      </c>
      <c r="N337" s="37" t="s">
        <v>1441</v>
      </c>
      <c r="O337" s="37" t="s">
        <v>1881</v>
      </c>
      <c r="P337" s="37" t="s">
        <v>964</v>
      </c>
      <c r="Q337" s="37" t="s">
        <v>265</v>
      </c>
      <c r="R337" s="36">
        <v>43153</v>
      </c>
      <c r="S337" s="37"/>
      <c r="T337" s="36"/>
      <c r="U337" s="37"/>
      <c r="V337" s="36"/>
      <c r="W337" s="37"/>
      <c r="X337" s="37"/>
      <c r="Y337" s="37"/>
      <c r="Z337" s="37"/>
      <c r="AA337" s="37"/>
      <c r="AB337" s="37"/>
      <c r="AC337" s="39">
        <v>0</v>
      </c>
      <c r="AD337" s="37" t="str">
        <f t="shared" si="18"/>
        <v>0년 0개월</v>
      </c>
      <c r="AE337" s="39">
        <f ca="1">($AK$1-J337)/30</f>
        <v>71.733333333333334</v>
      </c>
      <c r="AF337" s="37" t="str">
        <f t="shared" ca="1" si="19"/>
        <v>5년 11개월</v>
      </c>
      <c r="AG337" s="39">
        <f t="shared" ca="1" si="20"/>
        <v>71.733333333333334</v>
      </c>
      <c r="AH337" s="39" t="str">
        <f t="shared" ca="1" si="21"/>
        <v>5년 11개월</v>
      </c>
      <c r="AI337" s="44" t="s">
        <v>2934</v>
      </c>
      <c r="AJ337" s="37" t="s">
        <v>2935</v>
      </c>
      <c r="AK337" s="50" t="s">
        <v>2936</v>
      </c>
      <c r="AL337" s="37"/>
      <c r="AM337" s="37" t="s">
        <v>2937</v>
      </c>
      <c r="AN337" s="54" t="s">
        <v>2938</v>
      </c>
      <c r="AO337" s="32"/>
      <c r="AP337" s="32" t="s">
        <v>2190</v>
      </c>
      <c r="AQ337" s="32"/>
      <c r="AR337" s="32"/>
      <c r="AS337" s="32"/>
      <c r="AT337" s="32"/>
      <c r="AU337" s="32"/>
      <c r="AV337" s="32"/>
      <c r="AW337" s="32"/>
      <c r="AX337" s="32"/>
      <c r="AY337" s="32"/>
    </row>
    <row r="338" spans="1:51" ht="16.5" customHeight="1">
      <c r="A338" s="81" t="s">
        <v>377</v>
      </c>
      <c r="B338" s="37">
        <v>200304</v>
      </c>
      <c r="C338" s="112" t="s">
        <v>924</v>
      </c>
      <c r="D338" s="104" t="s">
        <v>2939</v>
      </c>
      <c r="E338" s="37" t="s">
        <v>44</v>
      </c>
      <c r="F338" s="38"/>
      <c r="G338" s="80" t="s">
        <v>1644</v>
      </c>
      <c r="H338" s="34"/>
      <c r="I338" s="37" t="s">
        <v>2940</v>
      </c>
      <c r="J338" s="36">
        <v>43906</v>
      </c>
      <c r="K338" s="36"/>
      <c r="L338" s="85">
        <v>45351</v>
      </c>
      <c r="M338" s="37" t="s">
        <v>146</v>
      </c>
      <c r="N338" s="37" t="s">
        <v>2941</v>
      </c>
      <c r="O338" s="37" t="s">
        <v>2942</v>
      </c>
      <c r="P338" s="37" t="s">
        <v>964</v>
      </c>
      <c r="Q338" s="37" t="s">
        <v>265</v>
      </c>
      <c r="R338" s="36">
        <v>41863</v>
      </c>
      <c r="S338" s="37"/>
      <c r="T338" s="36"/>
      <c r="U338" s="37"/>
      <c r="V338" s="36"/>
      <c r="W338" s="37"/>
      <c r="X338" s="37"/>
      <c r="Y338" s="37"/>
      <c r="Z338" s="37"/>
      <c r="AA338" s="37"/>
      <c r="AB338" s="37"/>
      <c r="AC338" s="39">
        <v>67.7</v>
      </c>
      <c r="AD338" s="37" t="str">
        <f t="shared" si="18"/>
        <v>5년 7개월</v>
      </c>
      <c r="AE338" s="39">
        <f ca="1">($AK$1-J338)/30</f>
        <v>73.599999999999994</v>
      </c>
      <c r="AF338" s="37" t="str">
        <f t="shared" ca="1" si="19"/>
        <v>6년 1개월</v>
      </c>
      <c r="AG338" s="39">
        <f t="shared" ca="1" si="20"/>
        <v>141.30000000000001</v>
      </c>
      <c r="AH338" s="39" t="str">
        <f t="shared" ca="1" si="21"/>
        <v>11년 9개월</v>
      </c>
      <c r="AI338" s="44" t="s">
        <v>2943</v>
      </c>
      <c r="AJ338" s="37" t="s">
        <v>2944</v>
      </c>
      <c r="AK338" s="50" t="s">
        <v>1691</v>
      </c>
      <c r="AL338" s="37"/>
      <c r="AM338" s="37" t="s">
        <v>2945</v>
      </c>
      <c r="AN338" s="54" t="s">
        <v>2946</v>
      </c>
      <c r="AO338" s="32"/>
      <c r="AP338" s="32" t="s">
        <v>2190</v>
      </c>
      <c r="AQ338" s="32"/>
      <c r="AR338" s="32"/>
      <c r="AS338" s="32"/>
      <c r="AT338" s="32"/>
      <c r="AU338" s="32"/>
      <c r="AV338" s="32"/>
      <c r="AW338" s="32"/>
      <c r="AX338" s="32"/>
      <c r="AY338" s="32"/>
    </row>
    <row r="339" spans="1:51" ht="16.5" customHeight="1">
      <c r="A339" s="81" t="s">
        <v>2947</v>
      </c>
      <c r="B339" s="33" t="s">
        <v>2948</v>
      </c>
      <c r="C339" s="112" t="s">
        <v>193</v>
      </c>
      <c r="D339" s="108" t="s">
        <v>2949</v>
      </c>
      <c r="E339" s="34" t="s">
        <v>228</v>
      </c>
      <c r="F339" s="34" t="s">
        <v>2950</v>
      </c>
      <c r="G339" s="80" t="s">
        <v>1644</v>
      </c>
      <c r="H339" s="34"/>
      <c r="I339" s="35" t="s">
        <v>2951</v>
      </c>
      <c r="J339" s="36">
        <v>43430</v>
      </c>
      <c r="K339" s="36">
        <v>44562</v>
      </c>
      <c r="L339" s="85">
        <v>45351</v>
      </c>
      <c r="M339" s="37" t="s">
        <v>153</v>
      </c>
      <c r="N339" s="37" t="s">
        <v>456</v>
      </c>
      <c r="O339" s="38" t="s">
        <v>499</v>
      </c>
      <c r="P339" s="38" t="s">
        <v>1134</v>
      </c>
      <c r="Q339" s="37" t="s">
        <v>209</v>
      </c>
      <c r="R339" s="36">
        <v>37309</v>
      </c>
      <c r="S339" s="37" t="s">
        <v>275</v>
      </c>
      <c r="T339" s="36">
        <v>37242</v>
      </c>
      <c r="U339" s="37"/>
      <c r="V339" s="36"/>
      <c r="W339" s="37"/>
      <c r="X339" s="36"/>
      <c r="Y339" s="37"/>
      <c r="Z339" s="37"/>
      <c r="AA339" s="36"/>
      <c r="AB339" s="37"/>
      <c r="AC339" s="39">
        <v>180</v>
      </c>
      <c r="AD339" s="38" t="str">
        <f t="shared" si="18"/>
        <v>15년 0개월</v>
      </c>
      <c r="AE339" s="39">
        <f ca="1">(재직자!$AL$1-J339)/30</f>
        <v>89.466666666666669</v>
      </c>
      <c r="AF339" s="39" t="str">
        <f t="shared" ca="1" si="19"/>
        <v>7년 5개월</v>
      </c>
      <c r="AG339" s="39">
        <f t="shared" ca="1" si="20"/>
        <v>269.4666666666667</v>
      </c>
      <c r="AH339" s="39" t="str">
        <f t="shared" ca="1" si="21"/>
        <v>22년 5개월</v>
      </c>
      <c r="AI339" s="43" t="s">
        <v>2952</v>
      </c>
      <c r="AJ339" s="33" t="s">
        <v>2953</v>
      </c>
      <c r="AK339" s="62" t="s">
        <v>2954</v>
      </c>
      <c r="AL339" s="37"/>
      <c r="AM339" s="37" t="s">
        <v>2955</v>
      </c>
      <c r="AN339" s="54" t="s">
        <v>2956</v>
      </c>
      <c r="AO339" s="32"/>
      <c r="AP339" s="32" t="s">
        <v>2190</v>
      </c>
      <c r="AQ339" s="32"/>
      <c r="AR339" s="32"/>
      <c r="AS339" s="32"/>
      <c r="AT339" s="32"/>
      <c r="AU339" s="32"/>
      <c r="AV339" s="32"/>
      <c r="AW339" s="32"/>
      <c r="AX339" s="32"/>
      <c r="AY339" s="32"/>
    </row>
    <row r="340" spans="1:51" ht="15.75" customHeight="1">
      <c r="A340" s="81" t="s">
        <v>2641</v>
      </c>
      <c r="B340" s="86">
        <v>230303</v>
      </c>
      <c r="C340" s="114" t="s">
        <v>2694</v>
      </c>
      <c r="D340" s="98" t="s">
        <v>2957</v>
      </c>
      <c r="E340" s="86" t="s">
        <v>139</v>
      </c>
      <c r="F340" s="37"/>
      <c r="G340" s="83" t="s">
        <v>2923</v>
      </c>
      <c r="H340" s="37"/>
      <c r="I340" s="86" t="s">
        <v>2958</v>
      </c>
      <c r="J340" s="85">
        <v>45000</v>
      </c>
      <c r="K340" s="36"/>
      <c r="L340" s="85">
        <v>45365</v>
      </c>
      <c r="M340" s="86" t="s">
        <v>196</v>
      </c>
      <c r="N340" s="86" t="s">
        <v>2959</v>
      </c>
      <c r="O340" s="86" t="s">
        <v>617</v>
      </c>
      <c r="P340" s="86" t="s">
        <v>711</v>
      </c>
      <c r="Q340" s="86" t="s">
        <v>198</v>
      </c>
      <c r="R340" s="85">
        <v>38408</v>
      </c>
      <c r="S340" s="86" t="s">
        <v>405</v>
      </c>
      <c r="T340" s="85">
        <v>31761</v>
      </c>
      <c r="U340" s="86"/>
      <c r="V340" s="85"/>
      <c r="W340" s="37"/>
      <c r="X340" s="37"/>
      <c r="Y340" s="37"/>
      <c r="Z340" s="37"/>
      <c r="AA340" s="37"/>
      <c r="AB340" s="37"/>
      <c r="AC340" s="91">
        <v>409</v>
      </c>
      <c r="AD340" s="38" t="str">
        <f t="shared" si="18"/>
        <v>34년 1개월</v>
      </c>
      <c r="AE340" s="39">
        <f ca="1">(재직자!$AL$1-J340)/30</f>
        <v>37.133333333333333</v>
      </c>
      <c r="AF340" s="39" t="str">
        <f t="shared" ca="1" si="19"/>
        <v>3년 1개월</v>
      </c>
      <c r="AG340" s="39">
        <f t="shared" ca="1" si="20"/>
        <v>446.13333333333333</v>
      </c>
      <c r="AH340" s="39" t="str">
        <f t="shared" ca="1" si="21"/>
        <v>37년 2개월</v>
      </c>
      <c r="AI340" s="96" t="s">
        <v>2960</v>
      </c>
      <c r="AJ340" s="86" t="s">
        <v>2961</v>
      </c>
      <c r="AK340" s="96" t="s">
        <v>2962</v>
      </c>
      <c r="AL340" s="37"/>
      <c r="AM340" s="86" t="s">
        <v>2963</v>
      </c>
      <c r="AN340" s="37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</row>
    <row r="341" spans="1:51" ht="16.5" customHeight="1">
      <c r="A341" s="33" t="s">
        <v>899</v>
      </c>
      <c r="B341" s="37">
        <v>210405</v>
      </c>
      <c r="C341" s="112" t="s">
        <v>193</v>
      </c>
      <c r="D341" s="104" t="s">
        <v>2964</v>
      </c>
      <c r="E341" s="37" t="s">
        <v>51</v>
      </c>
      <c r="F341" s="38"/>
      <c r="G341" s="80" t="s">
        <v>52</v>
      </c>
      <c r="H341" s="34"/>
      <c r="I341" s="37" t="s">
        <v>2965</v>
      </c>
      <c r="J341" s="36">
        <v>44298</v>
      </c>
      <c r="K341" s="36"/>
      <c r="L341" s="85">
        <v>45380</v>
      </c>
      <c r="M341" s="37" t="s">
        <v>146</v>
      </c>
      <c r="N341" s="37" t="s">
        <v>2966</v>
      </c>
      <c r="O341" s="37" t="s">
        <v>2967</v>
      </c>
      <c r="P341" s="37" t="s">
        <v>711</v>
      </c>
      <c r="Q341" s="37" t="s">
        <v>265</v>
      </c>
      <c r="R341" s="36">
        <v>43151</v>
      </c>
      <c r="S341" s="37"/>
      <c r="T341" s="36"/>
      <c r="U341" s="37"/>
      <c r="V341" s="36"/>
      <c r="W341" s="37"/>
      <c r="X341" s="36"/>
      <c r="Y341" s="37"/>
      <c r="Z341" s="37"/>
      <c r="AA341" s="37"/>
      <c r="AB341" s="37"/>
      <c r="AC341" s="39"/>
      <c r="AD341" s="37" t="str">
        <f t="shared" si="18"/>
        <v>0년 0개월</v>
      </c>
      <c r="AE341" s="39">
        <f ca="1">(재직자!$AL$1-J341)/30</f>
        <v>60.533333333333331</v>
      </c>
      <c r="AF341" s="37" t="str">
        <f t="shared" ca="1" si="19"/>
        <v>5년 0개월</v>
      </c>
      <c r="AG341" s="39">
        <f t="shared" ca="1" si="20"/>
        <v>60.533333333333331</v>
      </c>
      <c r="AH341" s="39" t="str">
        <f t="shared" ca="1" si="21"/>
        <v>5년 0개월</v>
      </c>
      <c r="AI341" s="44" t="s">
        <v>2968</v>
      </c>
      <c r="AJ341" s="37" t="s">
        <v>2969</v>
      </c>
      <c r="AK341" s="50" t="s">
        <v>2970</v>
      </c>
      <c r="AL341" s="37"/>
      <c r="AM341" s="37" t="s">
        <v>2971</v>
      </c>
      <c r="AN341" s="54" t="s">
        <v>2972</v>
      </c>
      <c r="AO341" s="32"/>
      <c r="AP341" s="32" t="s">
        <v>2190</v>
      </c>
      <c r="AQ341" s="32"/>
      <c r="AR341" s="32"/>
      <c r="AS341" s="32"/>
      <c r="AT341" s="32"/>
      <c r="AU341" s="32"/>
      <c r="AV341" s="32"/>
      <c r="AW341" s="32"/>
      <c r="AX341" s="32"/>
      <c r="AY341" s="32"/>
    </row>
    <row r="342" spans="1:51" ht="16.5" customHeight="1">
      <c r="A342" s="33" t="s">
        <v>479</v>
      </c>
      <c r="B342" s="33" t="s">
        <v>2973</v>
      </c>
      <c r="C342" s="112" t="s">
        <v>193</v>
      </c>
      <c r="D342" s="108" t="s">
        <v>2974</v>
      </c>
      <c r="E342" s="34" t="s">
        <v>44</v>
      </c>
      <c r="F342" s="34" t="s">
        <v>2975</v>
      </c>
      <c r="G342" s="80" t="s">
        <v>1685</v>
      </c>
      <c r="H342" s="34"/>
      <c r="I342" s="35" t="s">
        <v>2976</v>
      </c>
      <c r="J342" s="36">
        <v>43507</v>
      </c>
      <c r="K342" s="36">
        <v>44562</v>
      </c>
      <c r="L342" s="85">
        <v>45380</v>
      </c>
      <c r="M342" s="37" t="s">
        <v>196</v>
      </c>
      <c r="N342" s="37" t="s">
        <v>1132</v>
      </c>
      <c r="O342" s="38" t="s">
        <v>2977</v>
      </c>
      <c r="P342" s="38" t="s">
        <v>964</v>
      </c>
      <c r="Q342" s="37" t="s">
        <v>198</v>
      </c>
      <c r="R342" s="36">
        <v>43517</v>
      </c>
      <c r="S342" s="37" t="s">
        <v>275</v>
      </c>
      <c r="T342" s="36">
        <v>42566</v>
      </c>
      <c r="U342" s="37"/>
      <c r="V342" s="36"/>
      <c r="W342" s="37"/>
      <c r="X342" s="36"/>
      <c r="Y342" s="37"/>
      <c r="Z342" s="37"/>
      <c r="AA342" s="36"/>
      <c r="AB342" s="37"/>
      <c r="AC342" s="39"/>
      <c r="AD342" s="38" t="str">
        <f t="shared" si="18"/>
        <v>0년 0개월</v>
      </c>
      <c r="AE342" s="39">
        <f ca="1">(재직자!$AL$1-J342)/30</f>
        <v>86.9</v>
      </c>
      <c r="AF342" s="39" t="str">
        <f t="shared" ca="1" si="19"/>
        <v>7년 2개월</v>
      </c>
      <c r="AG342" s="39">
        <f t="shared" ca="1" si="20"/>
        <v>86.9</v>
      </c>
      <c r="AH342" s="39" t="str">
        <f t="shared" ca="1" si="21"/>
        <v>7년 2개월</v>
      </c>
      <c r="AI342" s="43" t="s">
        <v>2978</v>
      </c>
      <c r="AJ342" s="33" t="s">
        <v>2979</v>
      </c>
      <c r="AK342" s="62" t="s">
        <v>2980</v>
      </c>
      <c r="AL342" s="90"/>
      <c r="AM342" s="37" t="s">
        <v>2981</v>
      </c>
      <c r="AN342" s="54" t="s">
        <v>2982</v>
      </c>
      <c r="AO342" s="32"/>
      <c r="AP342" s="32" t="s">
        <v>2190</v>
      </c>
      <c r="AQ342" s="32"/>
      <c r="AR342" s="32"/>
      <c r="AS342" s="32"/>
      <c r="AT342" s="32"/>
      <c r="AU342" s="32"/>
      <c r="AV342" s="32"/>
      <c r="AW342" s="32"/>
      <c r="AX342" s="32"/>
      <c r="AY342" s="32"/>
    </row>
    <row r="343" spans="1:51" ht="15.75" customHeight="1">
      <c r="A343" s="33" t="s">
        <v>2368</v>
      </c>
      <c r="B343" s="86">
        <v>230208</v>
      </c>
      <c r="C343" s="86" t="s">
        <v>193</v>
      </c>
      <c r="D343" s="98" t="s">
        <v>2983</v>
      </c>
      <c r="E343" s="86" t="s">
        <v>88</v>
      </c>
      <c r="F343" s="37"/>
      <c r="G343" s="83" t="s">
        <v>2696</v>
      </c>
      <c r="H343" s="37"/>
      <c r="I343" s="86" t="s">
        <v>2984</v>
      </c>
      <c r="J343" s="85">
        <v>44984</v>
      </c>
      <c r="K343" s="36"/>
      <c r="L343" s="85">
        <v>45382</v>
      </c>
      <c r="M343" s="86" t="s">
        <v>146</v>
      </c>
      <c r="N343" s="86" t="s">
        <v>2276</v>
      </c>
      <c r="O343" s="86" t="s">
        <v>2985</v>
      </c>
      <c r="P343" s="86" t="s">
        <v>1873</v>
      </c>
      <c r="Q343" s="86" t="s">
        <v>2680</v>
      </c>
      <c r="R343" s="100">
        <v>37307</v>
      </c>
      <c r="S343" s="86" t="s">
        <v>405</v>
      </c>
      <c r="T343" s="100">
        <v>40042</v>
      </c>
      <c r="U343" s="37"/>
      <c r="V343" s="37"/>
      <c r="W343" s="37"/>
      <c r="X343" s="37"/>
      <c r="Y343" s="37"/>
      <c r="Z343" s="37"/>
      <c r="AA343" s="37"/>
      <c r="AB343" s="37"/>
      <c r="AC343" s="91">
        <v>143</v>
      </c>
      <c r="AD343" s="38" t="str">
        <f t="shared" si="18"/>
        <v>11년 11개월</v>
      </c>
      <c r="AE343" s="39">
        <f ca="1">(재직자!$AL$1-J343)/30</f>
        <v>37.666666666666664</v>
      </c>
      <c r="AF343" s="39" t="str">
        <f t="shared" ca="1" si="19"/>
        <v>3년 1개월</v>
      </c>
      <c r="AG343" s="39">
        <f t="shared" ca="1" si="20"/>
        <v>180.66666666666666</v>
      </c>
      <c r="AH343" s="39" t="str">
        <f t="shared" ca="1" si="21"/>
        <v>15년 0개월</v>
      </c>
      <c r="AI343" s="96" t="s">
        <v>2986</v>
      </c>
      <c r="AJ343" s="86" t="s">
        <v>2987</v>
      </c>
      <c r="AK343" s="96" t="s">
        <v>2988</v>
      </c>
      <c r="AL343" s="37"/>
      <c r="AM343" s="86" t="s">
        <v>2989</v>
      </c>
      <c r="AN343" s="37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</row>
    <row r="344" spans="1:51" ht="16.5" customHeight="1">
      <c r="A344" s="33" t="s">
        <v>748</v>
      </c>
      <c r="B344" s="37">
        <v>210202</v>
      </c>
      <c r="C344" s="112" t="s">
        <v>193</v>
      </c>
      <c r="D344" s="104" t="s">
        <v>2990</v>
      </c>
      <c r="E344" s="37" t="s">
        <v>51</v>
      </c>
      <c r="F344" s="38" t="s">
        <v>2991</v>
      </c>
      <c r="G344" s="80" t="s">
        <v>1685</v>
      </c>
      <c r="H344" s="34"/>
      <c r="I344" s="37" t="s">
        <v>2992</v>
      </c>
      <c r="J344" s="36">
        <v>44228</v>
      </c>
      <c r="K344" s="36"/>
      <c r="L344" s="85">
        <v>45401</v>
      </c>
      <c r="M344" s="37" t="s">
        <v>153</v>
      </c>
      <c r="N344" s="37" t="s">
        <v>2993</v>
      </c>
      <c r="O344" s="37" t="s">
        <v>710</v>
      </c>
      <c r="P344" s="37" t="s">
        <v>1134</v>
      </c>
      <c r="Q344" s="37" t="s">
        <v>209</v>
      </c>
      <c r="R344" s="36">
        <v>43151</v>
      </c>
      <c r="S344" s="68" t="s">
        <v>275</v>
      </c>
      <c r="T344" s="36">
        <v>43693</v>
      </c>
      <c r="U344" s="37"/>
      <c r="V344" s="36"/>
      <c r="W344" s="37"/>
      <c r="X344" s="36"/>
      <c r="Y344" s="37"/>
      <c r="Z344" s="37"/>
      <c r="AA344" s="37"/>
      <c r="AB344" s="37"/>
      <c r="AC344" s="39">
        <v>0</v>
      </c>
      <c r="AD344" s="37" t="str">
        <f t="shared" si="18"/>
        <v>0년 0개월</v>
      </c>
      <c r="AE344" s="39">
        <f ca="1">(재직자!$AL$1-J344)/30</f>
        <v>62.866666666666667</v>
      </c>
      <c r="AF344" s="37" t="str">
        <f t="shared" ca="1" si="19"/>
        <v>5년 2개월</v>
      </c>
      <c r="AG344" s="39">
        <f t="shared" ca="1" si="20"/>
        <v>62.866666666666667</v>
      </c>
      <c r="AH344" s="39" t="str">
        <f t="shared" ca="1" si="21"/>
        <v>5년 2개월</v>
      </c>
      <c r="AI344" s="44" t="s">
        <v>2994</v>
      </c>
      <c r="AJ344" s="37" t="s">
        <v>2995</v>
      </c>
      <c r="AK344" s="50" t="s">
        <v>2996</v>
      </c>
      <c r="AL344" s="37"/>
      <c r="AM344" s="37" t="s">
        <v>2997</v>
      </c>
      <c r="AN344" s="54" t="s">
        <v>1148</v>
      </c>
      <c r="AO344" s="32"/>
      <c r="AP344" s="32" t="s">
        <v>2190</v>
      </c>
      <c r="AQ344" s="32"/>
      <c r="AR344" s="32"/>
      <c r="AS344" s="32"/>
      <c r="AT344" s="32"/>
      <c r="AU344" s="32"/>
      <c r="AV344" s="32"/>
      <c r="AW344" s="32"/>
      <c r="AX344" s="32"/>
      <c r="AY344" s="32"/>
    </row>
    <row r="345" spans="1:51" ht="15.75" customHeight="1">
      <c r="A345" s="33" t="s">
        <v>1944</v>
      </c>
      <c r="B345" s="81" t="s">
        <v>2998</v>
      </c>
      <c r="C345" s="115" t="s">
        <v>193</v>
      </c>
      <c r="D345" s="116" t="s">
        <v>2999</v>
      </c>
      <c r="E345" s="82" t="s">
        <v>51</v>
      </c>
      <c r="F345" s="34"/>
      <c r="G345" s="83" t="s">
        <v>2463</v>
      </c>
      <c r="H345" s="82" t="s">
        <v>3000</v>
      </c>
      <c r="I345" s="84">
        <v>9509091163312</v>
      </c>
      <c r="J345" s="85">
        <v>44753</v>
      </c>
      <c r="K345" s="36"/>
      <c r="L345" s="36"/>
      <c r="M345" s="86" t="s">
        <v>153</v>
      </c>
      <c r="N345" s="86" t="s">
        <v>1132</v>
      </c>
      <c r="O345" s="87" t="s">
        <v>3001</v>
      </c>
      <c r="P345" s="87" t="s">
        <v>964</v>
      </c>
      <c r="Q345" s="86" t="s">
        <v>209</v>
      </c>
      <c r="R345" s="85">
        <v>44608</v>
      </c>
      <c r="S345" s="37"/>
      <c r="T345" s="36"/>
      <c r="U345" s="37"/>
      <c r="V345" s="36"/>
      <c r="W345" s="37"/>
      <c r="X345" s="36"/>
      <c r="Y345" s="37"/>
      <c r="Z345" s="37"/>
      <c r="AA345" s="36"/>
      <c r="AB345" s="37"/>
      <c r="AC345" s="91">
        <v>0</v>
      </c>
      <c r="AD345" s="38" t="str">
        <f t="shared" si="18"/>
        <v>0년 0개월</v>
      </c>
      <c r="AE345" s="39">
        <f ca="1">(재직자!$AL$1-J345)/30</f>
        <v>45.366666666666667</v>
      </c>
      <c r="AF345" s="39" t="str">
        <f t="shared" ca="1" si="19"/>
        <v>3년 9개월</v>
      </c>
      <c r="AG345" s="39">
        <f t="shared" ca="1" si="20"/>
        <v>45.366666666666667</v>
      </c>
      <c r="AH345" s="39" t="str">
        <f t="shared" ca="1" si="21"/>
        <v>3년 9개월</v>
      </c>
      <c r="AI345" s="88" t="s">
        <v>3002</v>
      </c>
      <c r="AJ345" s="81" t="s">
        <v>3003</v>
      </c>
      <c r="AK345" s="89" t="s">
        <v>3004</v>
      </c>
      <c r="AL345" s="90"/>
      <c r="AM345" s="86" t="s">
        <v>3005</v>
      </c>
      <c r="AN345" s="54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</row>
    <row r="346" spans="1:51" ht="15.75" customHeight="1">
      <c r="A346" s="33" t="s">
        <v>1989</v>
      </c>
      <c r="B346" s="81" t="s">
        <v>3006</v>
      </c>
      <c r="C346" s="115" t="s">
        <v>193</v>
      </c>
      <c r="D346" s="101" t="s">
        <v>3007</v>
      </c>
      <c r="E346" s="82" t="s">
        <v>44</v>
      </c>
      <c r="F346" s="34"/>
      <c r="G346" s="83" t="s">
        <v>2427</v>
      </c>
      <c r="H346" s="82" t="s">
        <v>2428</v>
      </c>
      <c r="I346" s="84" t="s">
        <v>3008</v>
      </c>
      <c r="J346" s="85">
        <v>44809</v>
      </c>
      <c r="K346" s="36"/>
      <c r="L346" s="36"/>
      <c r="M346" s="86" t="s">
        <v>146</v>
      </c>
      <c r="N346" s="86" t="s">
        <v>3009</v>
      </c>
      <c r="O346" s="87" t="s">
        <v>3010</v>
      </c>
      <c r="P346" s="87" t="s">
        <v>964</v>
      </c>
      <c r="Q346" s="86" t="s">
        <v>265</v>
      </c>
      <c r="R346" s="85">
        <v>42423</v>
      </c>
      <c r="S346" s="37"/>
      <c r="T346" s="36"/>
      <c r="U346" s="37"/>
      <c r="V346" s="36"/>
      <c r="W346" s="37"/>
      <c r="X346" s="36"/>
      <c r="Y346" s="37"/>
      <c r="Z346" s="37"/>
      <c r="AA346" s="36"/>
      <c r="AB346" s="37"/>
      <c r="AC346" s="91">
        <v>53</v>
      </c>
      <c r="AD346" s="38" t="str">
        <f t="shared" si="18"/>
        <v>4년 5개월</v>
      </c>
      <c r="AE346" s="39">
        <f ca="1">(재직자!$AL$1-J346)/30</f>
        <v>43.5</v>
      </c>
      <c r="AF346" s="39" t="str">
        <f t="shared" ca="1" si="19"/>
        <v>3년 7개월</v>
      </c>
      <c r="AG346" s="39">
        <f t="shared" ca="1" si="20"/>
        <v>96.5</v>
      </c>
      <c r="AH346" s="39" t="str">
        <f t="shared" ca="1" si="21"/>
        <v>8년 0개월</v>
      </c>
      <c r="AI346" s="96" t="s">
        <v>3011</v>
      </c>
      <c r="AJ346" s="86" t="s">
        <v>3012</v>
      </c>
      <c r="AK346" s="96" t="s">
        <v>3013</v>
      </c>
      <c r="AL346" s="37"/>
      <c r="AM346" s="86" t="s">
        <v>3014</v>
      </c>
      <c r="AN346" s="37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</row>
    <row r="347" spans="1:51" ht="15.75" customHeight="1">
      <c r="A347" s="33" t="s">
        <v>2273</v>
      </c>
      <c r="B347" s="86">
        <v>230205</v>
      </c>
      <c r="C347" s="114" t="s">
        <v>193</v>
      </c>
      <c r="D347" s="98" t="s">
        <v>3015</v>
      </c>
      <c r="E347" s="86" t="s">
        <v>51</v>
      </c>
      <c r="F347" s="37"/>
      <c r="G347" s="83" t="s">
        <v>3016</v>
      </c>
      <c r="H347" s="37"/>
      <c r="I347" s="86" t="s">
        <v>3017</v>
      </c>
      <c r="J347" s="85">
        <v>44977</v>
      </c>
      <c r="K347" s="36"/>
      <c r="L347" s="37"/>
      <c r="M347" s="86" t="s">
        <v>265</v>
      </c>
      <c r="N347" s="86" t="s">
        <v>3018</v>
      </c>
      <c r="O347" s="86" t="s">
        <v>2251</v>
      </c>
      <c r="P347" s="86" t="s">
        <v>964</v>
      </c>
      <c r="Q347" s="86" t="s">
        <v>2680</v>
      </c>
      <c r="R347" s="100">
        <v>43510</v>
      </c>
      <c r="S347" s="86" t="s">
        <v>275</v>
      </c>
      <c r="T347" s="85">
        <v>45245</v>
      </c>
      <c r="U347" s="86" t="s">
        <v>2752</v>
      </c>
      <c r="V347" s="86">
        <v>2018.06</v>
      </c>
      <c r="W347" s="86" t="s">
        <v>1249</v>
      </c>
      <c r="X347" s="85">
        <v>45114</v>
      </c>
      <c r="Y347" s="37"/>
      <c r="Z347" s="37"/>
      <c r="AA347" s="37"/>
      <c r="AB347" s="37"/>
      <c r="AC347" s="91">
        <v>0</v>
      </c>
      <c r="AD347" s="38" t="str">
        <f t="shared" si="18"/>
        <v>0년 0개월</v>
      </c>
      <c r="AE347" s="39">
        <f ca="1">(재직자!$AL$1-J347)/30</f>
        <v>37.9</v>
      </c>
      <c r="AF347" s="39" t="str">
        <f t="shared" ca="1" si="19"/>
        <v>3년 1개월</v>
      </c>
      <c r="AG347" s="39">
        <f t="shared" ca="1" si="20"/>
        <v>37.9</v>
      </c>
      <c r="AH347" s="39" t="str">
        <f t="shared" ca="1" si="21"/>
        <v>3년 1개월</v>
      </c>
      <c r="AI347" s="96" t="s">
        <v>3019</v>
      </c>
      <c r="AJ347" s="86" t="s">
        <v>3020</v>
      </c>
      <c r="AK347" s="96" t="s">
        <v>3021</v>
      </c>
      <c r="AL347" s="37"/>
      <c r="AM347" s="86" t="s">
        <v>3022</v>
      </c>
      <c r="AN347" s="37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</row>
    <row r="348" spans="1:51" ht="15.75" customHeight="1">
      <c r="A348" s="33" t="s">
        <v>2266</v>
      </c>
      <c r="B348" s="117">
        <v>230105</v>
      </c>
      <c r="C348" s="114" t="s">
        <v>193</v>
      </c>
      <c r="D348" s="98" t="s">
        <v>3023</v>
      </c>
      <c r="E348" s="86" t="s">
        <v>228</v>
      </c>
      <c r="F348" s="37"/>
      <c r="G348" s="83" t="s">
        <v>790</v>
      </c>
      <c r="H348" s="37"/>
      <c r="I348" s="86" t="s">
        <v>3024</v>
      </c>
      <c r="J348" s="85">
        <v>44928</v>
      </c>
      <c r="K348" s="36"/>
      <c r="L348" s="85"/>
      <c r="M348" s="86" t="s">
        <v>153</v>
      </c>
      <c r="N348" s="86" t="s">
        <v>3025</v>
      </c>
      <c r="O348" s="86" t="s">
        <v>617</v>
      </c>
      <c r="P348" s="86" t="s">
        <v>964</v>
      </c>
      <c r="Q348" s="86" t="s">
        <v>209</v>
      </c>
      <c r="R348" s="85">
        <v>38950</v>
      </c>
      <c r="S348" s="86" t="s">
        <v>405</v>
      </c>
      <c r="T348" s="100">
        <v>37104</v>
      </c>
      <c r="U348" s="37"/>
      <c r="V348" s="37"/>
      <c r="W348" s="37"/>
      <c r="X348" s="37"/>
      <c r="Y348" s="37"/>
      <c r="Z348" s="37"/>
      <c r="AA348" s="37"/>
      <c r="AB348" s="37"/>
      <c r="AC348" s="91">
        <v>247</v>
      </c>
      <c r="AD348" s="38" t="str">
        <f t="shared" si="18"/>
        <v>20년 7개월</v>
      </c>
      <c r="AE348" s="39">
        <f ca="1">(재직자!$AL$1-J348)/30</f>
        <v>39.533333333333331</v>
      </c>
      <c r="AF348" s="39" t="str">
        <f t="shared" ca="1" si="19"/>
        <v>3년 3개월</v>
      </c>
      <c r="AG348" s="39">
        <f t="shared" ca="1" si="20"/>
        <v>286.5333333333333</v>
      </c>
      <c r="AH348" s="39" t="str">
        <f t="shared" ca="1" si="21"/>
        <v>23년 10개월</v>
      </c>
      <c r="AI348" s="96" t="s">
        <v>3026</v>
      </c>
      <c r="AJ348" s="86" t="s">
        <v>3027</v>
      </c>
      <c r="AK348" s="96" t="s">
        <v>3028</v>
      </c>
      <c r="AL348" s="37"/>
      <c r="AM348" s="37"/>
      <c r="AN348" s="37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</row>
    <row r="349" spans="1:51" ht="16.5" customHeight="1">
      <c r="A349" s="33" t="s">
        <v>864</v>
      </c>
      <c r="B349" s="37">
        <v>210508</v>
      </c>
      <c r="C349" s="33" t="s">
        <v>226</v>
      </c>
      <c r="D349" s="104" t="s">
        <v>3029</v>
      </c>
      <c r="E349" s="37" t="s">
        <v>44</v>
      </c>
      <c r="F349" s="38"/>
      <c r="G349" s="80" t="s">
        <v>2418</v>
      </c>
      <c r="H349" s="34"/>
      <c r="I349" s="37" t="s">
        <v>3030</v>
      </c>
      <c r="J349" s="36">
        <v>44347</v>
      </c>
      <c r="K349" s="36"/>
      <c r="L349" s="36"/>
      <c r="M349" s="37" t="s">
        <v>153</v>
      </c>
      <c r="N349" s="37" t="s">
        <v>3031</v>
      </c>
      <c r="O349" s="37" t="s">
        <v>2662</v>
      </c>
      <c r="P349" s="37" t="s">
        <v>1873</v>
      </c>
      <c r="Q349" s="37" t="s">
        <v>209</v>
      </c>
      <c r="R349" s="36">
        <v>43515</v>
      </c>
      <c r="S349" s="37"/>
      <c r="T349" s="36"/>
      <c r="U349" s="37"/>
      <c r="V349" s="36"/>
      <c r="W349" s="37"/>
      <c r="X349" s="36"/>
      <c r="Y349" s="37"/>
      <c r="Z349" s="37"/>
      <c r="AA349" s="37"/>
      <c r="AB349" s="37"/>
      <c r="AC349" s="39">
        <v>63</v>
      </c>
      <c r="AD349" s="37" t="str">
        <f t="shared" si="18"/>
        <v>5년 3개월</v>
      </c>
      <c r="AE349" s="39">
        <f ca="1">(재직자!$AL$1-J349)/30</f>
        <v>58.9</v>
      </c>
      <c r="AF349" s="37" t="str">
        <f t="shared" ca="1" si="19"/>
        <v>4년 10개월</v>
      </c>
      <c r="AG349" s="39">
        <f t="shared" ca="1" si="20"/>
        <v>121.9</v>
      </c>
      <c r="AH349" s="39" t="str">
        <f t="shared" ca="1" si="21"/>
        <v>10년 1개월</v>
      </c>
      <c r="AI349" s="44" t="s">
        <v>3032</v>
      </c>
      <c r="AJ349" s="37" t="s">
        <v>3033</v>
      </c>
      <c r="AK349" s="50" t="s">
        <v>3034</v>
      </c>
      <c r="AL349" s="37"/>
      <c r="AM349" s="37" t="s">
        <v>3035</v>
      </c>
      <c r="AN349" s="54" t="s">
        <v>2375</v>
      </c>
      <c r="AO349" s="32"/>
      <c r="AP349" s="32" t="s">
        <v>2190</v>
      </c>
      <c r="AQ349" s="32"/>
      <c r="AR349" s="32"/>
      <c r="AS349" s="32"/>
      <c r="AT349" s="32"/>
      <c r="AU349" s="32"/>
      <c r="AV349" s="32"/>
      <c r="AW349" s="32"/>
      <c r="AX349" s="32"/>
      <c r="AY349" s="32"/>
    </row>
    <row r="350" spans="1:51" ht="16.5" customHeight="1">
      <c r="A350" s="33" t="s">
        <v>998</v>
      </c>
      <c r="B350" s="37">
        <v>211208</v>
      </c>
      <c r="C350" s="33" t="s">
        <v>924</v>
      </c>
      <c r="D350" s="118" t="s">
        <v>3036</v>
      </c>
      <c r="E350" s="37" t="s">
        <v>51</v>
      </c>
      <c r="F350" s="38"/>
      <c r="G350" s="83" t="s">
        <v>2874</v>
      </c>
      <c r="H350" s="34"/>
      <c r="I350" s="37" t="s">
        <v>3037</v>
      </c>
      <c r="J350" s="36">
        <v>44557</v>
      </c>
      <c r="K350" s="36"/>
      <c r="L350" s="85">
        <v>45473</v>
      </c>
      <c r="M350" s="37" t="s">
        <v>153</v>
      </c>
      <c r="N350" s="37" t="s">
        <v>1402</v>
      </c>
      <c r="O350" s="37" t="s">
        <v>3038</v>
      </c>
      <c r="P350" s="37" t="s">
        <v>763</v>
      </c>
      <c r="Q350" s="37" t="s">
        <v>209</v>
      </c>
      <c r="R350" s="36">
        <v>42787</v>
      </c>
      <c r="S350" s="37"/>
      <c r="T350" s="36"/>
      <c r="U350" s="37"/>
      <c r="V350" s="36"/>
      <c r="W350" s="37"/>
      <c r="X350" s="36"/>
      <c r="Y350" s="37"/>
      <c r="Z350" s="37"/>
      <c r="AA350" s="37"/>
      <c r="AB350" s="37"/>
      <c r="AC350" s="39">
        <v>30</v>
      </c>
      <c r="AD350" s="37" t="str">
        <f t="shared" si="18"/>
        <v>2년 6개월</v>
      </c>
      <c r="AE350" s="39">
        <f ca="1">(재직자!$AL$1-J350)/30</f>
        <v>51.9</v>
      </c>
      <c r="AF350" s="37" t="str">
        <f t="shared" ca="1" si="19"/>
        <v>4년 3개월</v>
      </c>
      <c r="AG350" s="39">
        <f t="shared" ca="1" si="20"/>
        <v>81.900000000000006</v>
      </c>
      <c r="AH350" s="39" t="str">
        <f t="shared" ca="1" si="21"/>
        <v>6년 9개월</v>
      </c>
      <c r="AI350" s="44" t="s">
        <v>3039</v>
      </c>
      <c r="AJ350" s="37" t="s">
        <v>3040</v>
      </c>
      <c r="AK350" s="94" t="s">
        <v>3041</v>
      </c>
      <c r="AL350" s="37"/>
      <c r="AM350" s="37" t="s">
        <v>3042</v>
      </c>
      <c r="AN350" s="54" t="s">
        <v>3043</v>
      </c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</row>
    <row r="351" spans="1:51" ht="16.5" customHeight="1">
      <c r="A351" s="33" t="s">
        <v>520</v>
      </c>
      <c r="B351" s="33" t="s">
        <v>3044</v>
      </c>
      <c r="C351" s="33" t="s">
        <v>193</v>
      </c>
      <c r="D351" s="108" t="s">
        <v>3045</v>
      </c>
      <c r="E351" s="34" t="s">
        <v>228</v>
      </c>
      <c r="F351" s="34"/>
      <c r="G351" s="83" t="s">
        <v>2874</v>
      </c>
      <c r="H351" s="34"/>
      <c r="I351" s="35" t="s">
        <v>3046</v>
      </c>
      <c r="J351" s="36">
        <v>43801</v>
      </c>
      <c r="K351" s="36">
        <v>44562</v>
      </c>
      <c r="L351" s="85">
        <v>45473</v>
      </c>
      <c r="M351" s="37" t="s">
        <v>146</v>
      </c>
      <c r="N351" s="37" t="s">
        <v>1528</v>
      </c>
      <c r="O351" s="38" t="s">
        <v>3047</v>
      </c>
      <c r="P351" s="38" t="s">
        <v>964</v>
      </c>
      <c r="Q351" s="37" t="s">
        <v>265</v>
      </c>
      <c r="R351" s="36">
        <v>38768</v>
      </c>
      <c r="S351" s="37" t="s">
        <v>275</v>
      </c>
      <c r="T351" s="36">
        <v>41502</v>
      </c>
      <c r="U351" s="37"/>
      <c r="V351" s="36"/>
      <c r="W351" s="37"/>
      <c r="X351" s="36"/>
      <c r="Y351" s="37"/>
      <c r="Z351" s="37"/>
      <c r="AA351" s="36"/>
      <c r="AB351" s="37"/>
      <c r="AC351" s="39">
        <v>164</v>
      </c>
      <c r="AD351" s="38" t="str">
        <f t="shared" si="18"/>
        <v>13년 8개월</v>
      </c>
      <c r="AE351" s="39">
        <f ca="1">(재직자!$AL$1-J351)/30</f>
        <v>77.099999999999994</v>
      </c>
      <c r="AF351" s="39" t="str">
        <f t="shared" ca="1" si="19"/>
        <v>6년 5개월</v>
      </c>
      <c r="AG351" s="39">
        <f t="shared" ca="1" si="20"/>
        <v>241.1</v>
      </c>
      <c r="AH351" s="39" t="str">
        <f t="shared" ca="1" si="21"/>
        <v>20년 1개월</v>
      </c>
      <c r="AI351" s="43" t="s">
        <v>3048</v>
      </c>
      <c r="AJ351" s="33" t="s">
        <v>3049</v>
      </c>
      <c r="AK351" s="62" t="s">
        <v>71</v>
      </c>
      <c r="AL351" s="90"/>
      <c r="AM351" s="37" t="s">
        <v>3050</v>
      </c>
      <c r="AN351" s="54" t="s">
        <v>3051</v>
      </c>
      <c r="AO351" s="32"/>
      <c r="AP351" s="32" t="s">
        <v>2190</v>
      </c>
      <c r="AQ351" s="32"/>
      <c r="AR351" s="32"/>
      <c r="AS351" s="32"/>
      <c r="AT351" s="32"/>
      <c r="AU351" s="32"/>
      <c r="AV351" s="32"/>
      <c r="AW351" s="32"/>
      <c r="AX351" s="32"/>
      <c r="AY351" s="32"/>
    </row>
    <row r="352" spans="1:51" ht="16.5" customHeight="1">
      <c r="A352" s="33" t="s">
        <v>998</v>
      </c>
      <c r="B352" s="37">
        <v>220105</v>
      </c>
      <c r="C352" s="33" t="s">
        <v>924</v>
      </c>
      <c r="D352" s="118" t="s">
        <v>3052</v>
      </c>
      <c r="E352" s="37" t="s">
        <v>34</v>
      </c>
      <c r="F352" s="38"/>
      <c r="G352" s="80" t="s">
        <v>1644</v>
      </c>
      <c r="H352" s="34"/>
      <c r="I352" s="37" t="s">
        <v>3053</v>
      </c>
      <c r="J352" s="36">
        <v>44571</v>
      </c>
      <c r="K352" s="36"/>
      <c r="L352" s="85">
        <v>45492</v>
      </c>
      <c r="M352" s="37" t="s">
        <v>153</v>
      </c>
      <c r="N352" s="37" t="s">
        <v>3054</v>
      </c>
      <c r="O352" s="37" t="s">
        <v>710</v>
      </c>
      <c r="P352" s="37" t="s">
        <v>711</v>
      </c>
      <c r="Q352" s="37" t="s">
        <v>209</v>
      </c>
      <c r="R352" s="36">
        <v>41328</v>
      </c>
      <c r="S352" s="37"/>
      <c r="T352" s="36"/>
      <c r="U352" s="37" t="s">
        <v>2752</v>
      </c>
      <c r="V352" s="36">
        <v>42717</v>
      </c>
      <c r="W352" s="37"/>
      <c r="X352" s="36"/>
      <c r="Y352" s="37"/>
      <c r="Z352" s="37"/>
      <c r="AA352" s="37"/>
      <c r="AB352" s="37"/>
      <c r="AC352" s="39">
        <v>150</v>
      </c>
      <c r="AD352" s="37" t="str">
        <f t="shared" si="18"/>
        <v>12년 6개월</v>
      </c>
      <c r="AE352" s="39">
        <f ca="1">(재직자!$AL$1-J352)/30</f>
        <v>51.43333333333333</v>
      </c>
      <c r="AF352" s="37" t="str">
        <f t="shared" ca="1" si="19"/>
        <v>4년 3개월</v>
      </c>
      <c r="AG352" s="39">
        <f t="shared" ca="1" si="20"/>
        <v>201.43333333333334</v>
      </c>
      <c r="AH352" s="39" t="str">
        <f t="shared" ca="1" si="21"/>
        <v>16년 9개월</v>
      </c>
      <c r="AI352" s="44" t="s">
        <v>3055</v>
      </c>
      <c r="AJ352" s="37" t="s">
        <v>3056</v>
      </c>
      <c r="AK352" s="50" t="s">
        <v>3057</v>
      </c>
      <c r="AL352" s="37"/>
      <c r="AM352" s="37" t="s">
        <v>1285</v>
      </c>
      <c r="AN352" s="54" t="s">
        <v>3058</v>
      </c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</row>
    <row r="353" spans="1:51" ht="16.5" customHeight="1">
      <c r="A353" s="33" t="s">
        <v>292</v>
      </c>
      <c r="B353" s="37">
        <v>210903</v>
      </c>
      <c r="C353" s="33" t="s">
        <v>924</v>
      </c>
      <c r="D353" s="118" t="s">
        <v>3059</v>
      </c>
      <c r="E353" s="37" t="s">
        <v>51</v>
      </c>
      <c r="F353" s="38"/>
      <c r="G353" s="80" t="s">
        <v>1644</v>
      </c>
      <c r="H353" s="34"/>
      <c r="I353" s="37" t="s">
        <v>3060</v>
      </c>
      <c r="J353" s="36">
        <v>44466</v>
      </c>
      <c r="K353" s="36"/>
      <c r="L353" s="85">
        <v>45504</v>
      </c>
      <c r="M353" s="37" t="s">
        <v>448</v>
      </c>
      <c r="N353" s="37" t="s">
        <v>3061</v>
      </c>
      <c r="O353" s="37" t="s">
        <v>3062</v>
      </c>
      <c r="P353" s="37" t="s">
        <v>711</v>
      </c>
      <c r="Q353" s="37" t="s">
        <v>448</v>
      </c>
      <c r="R353" s="36">
        <v>40229</v>
      </c>
      <c r="S353" s="37"/>
      <c r="T353" s="36"/>
      <c r="U353" s="37"/>
      <c r="V353" s="36"/>
      <c r="W353" s="37"/>
      <c r="X353" s="36"/>
      <c r="Y353" s="37"/>
      <c r="Z353" s="37"/>
      <c r="AA353" s="37"/>
      <c r="AB353" s="37"/>
      <c r="AC353" s="39">
        <v>20</v>
      </c>
      <c r="AD353" s="37" t="str">
        <f t="shared" si="18"/>
        <v>1년 8개월</v>
      </c>
      <c r="AE353" s="39">
        <f ca="1">(재직자!$AL$1-J353)/30</f>
        <v>54.93333333333333</v>
      </c>
      <c r="AF353" s="37" t="str">
        <f t="shared" ca="1" si="19"/>
        <v>4년 6개월</v>
      </c>
      <c r="AG353" s="39">
        <f t="shared" ca="1" si="20"/>
        <v>74.933333333333337</v>
      </c>
      <c r="AH353" s="39" t="str">
        <f t="shared" ca="1" si="21"/>
        <v>6년 2개월</v>
      </c>
      <c r="AI353" s="44" t="s">
        <v>3063</v>
      </c>
      <c r="AJ353" s="86" t="s">
        <v>3064</v>
      </c>
      <c r="AK353" s="50" t="s">
        <v>3065</v>
      </c>
      <c r="AL353" s="37"/>
      <c r="AM353" s="37" t="s">
        <v>3066</v>
      </c>
      <c r="AN353" s="54" t="s">
        <v>1817</v>
      </c>
      <c r="AO353" s="32"/>
      <c r="AP353" s="32" t="s">
        <v>2190</v>
      </c>
      <c r="AQ353" s="32"/>
      <c r="AR353" s="32"/>
      <c r="AS353" s="32"/>
      <c r="AT353" s="32"/>
      <c r="AU353" s="32"/>
      <c r="AV353" s="32"/>
      <c r="AW353" s="32"/>
      <c r="AX353" s="32"/>
      <c r="AY353" s="32"/>
    </row>
    <row r="354" spans="1:51" ht="15.75" customHeight="1">
      <c r="A354" s="33" t="s">
        <v>2641</v>
      </c>
      <c r="B354" s="86">
        <v>240301</v>
      </c>
      <c r="C354" s="86" t="s">
        <v>2369</v>
      </c>
      <c r="D354" s="119" t="s">
        <v>3067</v>
      </c>
      <c r="E354" s="86" t="s">
        <v>228</v>
      </c>
      <c r="F354" s="37"/>
      <c r="G354" s="83" t="s">
        <v>2402</v>
      </c>
      <c r="H354" s="37"/>
      <c r="I354" s="86" t="s">
        <v>3068</v>
      </c>
      <c r="J354" s="85">
        <v>45355</v>
      </c>
      <c r="K354" s="36"/>
      <c r="L354" s="85">
        <v>45473</v>
      </c>
      <c r="M354" s="86" t="s">
        <v>153</v>
      </c>
      <c r="N354" s="86" t="s">
        <v>2867</v>
      </c>
      <c r="O354" s="86" t="s">
        <v>413</v>
      </c>
      <c r="P354" s="86" t="s">
        <v>711</v>
      </c>
      <c r="Q354" s="86" t="s">
        <v>209</v>
      </c>
      <c r="R354" s="85">
        <v>44799</v>
      </c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91">
        <v>216</v>
      </c>
      <c r="AD354" s="38" t="str">
        <f t="shared" si="18"/>
        <v>18년 0개월</v>
      </c>
      <c r="AE354" s="39">
        <f ca="1">(재직자!$AL$1-J354)/30</f>
        <v>25.3</v>
      </c>
      <c r="AF354" s="39" t="str">
        <f t="shared" ca="1" si="19"/>
        <v>2년 1개월</v>
      </c>
      <c r="AG354" s="39">
        <f t="shared" ca="1" si="20"/>
        <v>241.3</v>
      </c>
      <c r="AH354" s="39" t="str">
        <f t="shared" ca="1" si="21"/>
        <v>20년 1개월</v>
      </c>
      <c r="AI354" s="96" t="s">
        <v>3069</v>
      </c>
      <c r="AJ354" s="86" t="s">
        <v>3070</v>
      </c>
      <c r="AK354" s="96" t="s">
        <v>2845</v>
      </c>
      <c r="AL354" s="37"/>
      <c r="AM354" s="86" t="s">
        <v>3071</v>
      </c>
      <c r="AN354" s="37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</row>
    <row r="355" spans="1:51" ht="16.5" customHeight="1">
      <c r="A355" s="33" t="s">
        <v>2947</v>
      </c>
      <c r="B355" s="33" t="s">
        <v>3072</v>
      </c>
      <c r="C355" s="33" t="s">
        <v>193</v>
      </c>
      <c r="D355" s="120" t="s">
        <v>3073</v>
      </c>
      <c r="E355" s="34" t="s">
        <v>44</v>
      </c>
      <c r="F355" s="34"/>
      <c r="G355" s="80" t="s">
        <v>1685</v>
      </c>
      <c r="H355" s="34"/>
      <c r="I355" s="35" t="s">
        <v>3074</v>
      </c>
      <c r="J355" s="36">
        <v>43437</v>
      </c>
      <c r="K355" s="36">
        <v>44562</v>
      </c>
      <c r="L355" s="85">
        <v>45504</v>
      </c>
      <c r="M355" s="37" t="s">
        <v>146</v>
      </c>
      <c r="N355" s="37" t="s">
        <v>731</v>
      </c>
      <c r="O355" s="38" t="s">
        <v>3075</v>
      </c>
      <c r="P355" s="38"/>
      <c r="Q355" s="37" t="s">
        <v>265</v>
      </c>
      <c r="R355" s="36">
        <v>42060</v>
      </c>
      <c r="S355" s="37"/>
      <c r="T355" s="36"/>
      <c r="U355" s="37"/>
      <c r="V355" s="36"/>
      <c r="W355" s="37"/>
      <c r="X355" s="36"/>
      <c r="Y355" s="37"/>
      <c r="Z355" s="37"/>
      <c r="AA355" s="36"/>
      <c r="AB355" s="37"/>
      <c r="AC355" s="39"/>
      <c r="AD355" s="38" t="str">
        <f t="shared" si="18"/>
        <v>0년 0개월</v>
      </c>
      <c r="AE355" s="39">
        <f ca="1">(재직자!$AL$1-J355)/30</f>
        <v>89.233333333333334</v>
      </c>
      <c r="AF355" s="39" t="str">
        <f t="shared" ca="1" si="19"/>
        <v>7년 5개월</v>
      </c>
      <c r="AG355" s="39">
        <f t="shared" ca="1" si="20"/>
        <v>89.233333333333334</v>
      </c>
      <c r="AH355" s="39" t="str">
        <f t="shared" ca="1" si="21"/>
        <v>7년 5개월</v>
      </c>
      <c r="AI355" s="43" t="s">
        <v>3076</v>
      </c>
      <c r="AJ355" s="33" t="s">
        <v>3077</v>
      </c>
      <c r="AK355" s="62" t="s">
        <v>3078</v>
      </c>
      <c r="AL355" s="37"/>
      <c r="AM355" s="37" t="s">
        <v>3079</v>
      </c>
      <c r="AN355" s="54" t="s">
        <v>875</v>
      </c>
      <c r="AO355" s="32"/>
      <c r="AP355" s="32" t="s">
        <v>2190</v>
      </c>
      <c r="AQ355" s="32"/>
      <c r="AR355" s="32"/>
      <c r="AS355" s="32"/>
      <c r="AT355" s="32"/>
      <c r="AU355" s="32"/>
      <c r="AV355" s="32"/>
      <c r="AW355" s="32"/>
      <c r="AX355" s="32"/>
      <c r="AY355" s="32"/>
    </row>
    <row r="356" spans="1:51" ht="16.5" customHeight="1">
      <c r="A356" s="33" t="s">
        <v>998</v>
      </c>
      <c r="B356" s="37">
        <v>220204</v>
      </c>
      <c r="C356" s="33" t="s">
        <v>924</v>
      </c>
      <c r="D356" s="118" t="s">
        <v>3080</v>
      </c>
      <c r="E356" s="37" t="s">
        <v>51</v>
      </c>
      <c r="F356" s="38"/>
      <c r="G356" s="83" t="s">
        <v>2634</v>
      </c>
      <c r="H356" s="34"/>
      <c r="I356" s="37" t="s">
        <v>3081</v>
      </c>
      <c r="J356" s="36">
        <v>44599</v>
      </c>
      <c r="K356" s="36"/>
      <c r="L356" s="85">
        <v>45513</v>
      </c>
      <c r="M356" s="37" t="s">
        <v>146</v>
      </c>
      <c r="N356" s="37" t="s">
        <v>3082</v>
      </c>
      <c r="O356" s="37" t="s">
        <v>3083</v>
      </c>
      <c r="P356" s="37" t="s">
        <v>711</v>
      </c>
      <c r="Q356" s="37" t="s">
        <v>265</v>
      </c>
      <c r="R356" s="36">
        <v>41688</v>
      </c>
      <c r="S356" s="37" t="s">
        <v>405</v>
      </c>
      <c r="T356" s="36">
        <v>44349</v>
      </c>
      <c r="U356" s="37" t="s">
        <v>3084</v>
      </c>
      <c r="V356" s="36">
        <v>44368</v>
      </c>
      <c r="W356" s="37" t="s">
        <v>2092</v>
      </c>
      <c r="X356" s="36">
        <v>44196</v>
      </c>
      <c r="Y356" s="37"/>
      <c r="Z356" s="37"/>
      <c r="AA356" s="37"/>
      <c r="AB356" s="37"/>
      <c r="AC356" s="91">
        <v>0</v>
      </c>
      <c r="AD356" s="37" t="str">
        <f t="shared" si="18"/>
        <v>0년 0개월</v>
      </c>
      <c r="AE356" s="39">
        <f ca="1">(재직자!$AL$1-J356)/30</f>
        <v>50.5</v>
      </c>
      <c r="AF356" s="37" t="str">
        <f t="shared" ca="1" si="19"/>
        <v>4년 2개월</v>
      </c>
      <c r="AG356" s="39">
        <f t="shared" ca="1" si="20"/>
        <v>50.5</v>
      </c>
      <c r="AH356" s="39" t="str">
        <f t="shared" ca="1" si="21"/>
        <v>4년 2개월</v>
      </c>
      <c r="AI356" s="44" t="s">
        <v>3085</v>
      </c>
      <c r="AJ356" s="37" t="s">
        <v>3086</v>
      </c>
      <c r="AK356" s="94" t="s">
        <v>3087</v>
      </c>
      <c r="AL356" s="37"/>
      <c r="AM356" s="37" t="s">
        <v>3088</v>
      </c>
      <c r="AN356" s="54" t="s">
        <v>3089</v>
      </c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</row>
    <row r="357" spans="1:51" ht="16.5" customHeight="1">
      <c r="A357" s="33" t="s">
        <v>141</v>
      </c>
      <c r="B357" s="33" t="s">
        <v>3090</v>
      </c>
      <c r="C357" s="33" t="s">
        <v>2051</v>
      </c>
      <c r="D357" s="108" t="s">
        <v>166</v>
      </c>
      <c r="E357" s="34" t="s">
        <v>228</v>
      </c>
      <c r="F357" s="34" t="s">
        <v>3091</v>
      </c>
      <c r="G357" s="80" t="s">
        <v>1644</v>
      </c>
      <c r="H357" s="37"/>
      <c r="I357" s="35" t="s">
        <v>167</v>
      </c>
      <c r="J357" s="36">
        <v>42485</v>
      </c>
      <c r="K357" s="36">
        <v>43891</v>
      </c>
      <c r="L357" s="85">
        <v>45544</v>
      </c>
      <c r="M357" s="37" t="s">
        <v>146</v>
      </c>
      <c r="N357" s="37" t="s">
        <v>3092</v>
      </c>
      <c r="O357" s="38" t="s">
        <v>3093</v>
      </c>
      <c r="P357" s="38" t="s">
        <v>964</v>
      </c>
      <c r="Q357" s="37" t="s">
        <v>265</v>
      </c>
      <c r="R357" s="36">
        <v>36573</v>
      </c>
      <c r="S357" s="37"/>
      <c r="T357" s="36"/>
      <c r="U357" s="37"/>
      <c r="V357" s="37"/>
      <c r="W357" s="37"/>
      <c r="X357" s="37"/>
      <c r="Y357" s="37" t="s">
        <v>230</v>
      </c>
      <c r="Z357" s="37"/>
      <c r="AA357" s="36"/>
      <c r="AB357" s="37"/>
      <c r="AC357" s="39">
        <v>187</v>
      </c>
      <c r="AD357" s="38" t="str">
        <f t="shared" si="18"/>
        <v>15년 7개월</v>
      </c>
      <c r="AE357" s="39">
        <f ca="1">(재직자!$AL$1-J357)/30</f>
        <v>120.96666666666667</v>
      </c>
      <c r="AF357" s="39" t="str">
        <f t="shared" ca="1" si="19"/>
        <v>10년 0개월</v>
      </c>
      <c r="AG357" s="39">
        <f t="shared" ca="1" si="20"/>
        <v>307.9666666666667</v>
      </c>
      <c r="AH357" s="39" t="str">
        <f t="shared" ca="1" si="21"/>
        <v>25년 7개월</v>
      </c>
      <c r="AI357" s="43" t="s">
        <v>3094</v>
      </c>
      <c r="AJ357" s="33" t="s">
        <v>47</v>
      </c>
      <c r="AK357" s="62" t="s">
        <v>48</v>
      </c>
      <c r="AL357" s="37"/>
      <c r="AM357" s="37" t="s">
        <v>3095</v>
      </c>
      <c r="AN357" s="54" t="s">
        <v>3096</v>
      </c>
      <c r="AO357" s="32"/>
      <c r="AP357" s="32" t="s">
        <v>2190</v>
      </c>
      <c r="AQ357" s="32"/>
      <c r="AR357" s="32"/>
      <c r="AS357" s="32"/>
      <c r="AT357" s="32"/>
      <c r="AU357" s="32"/>
      <c r="AV357" s="32"/>
      <c r="AW357" s="32"/>
      <c r="AX357" s="32"/>
      <c r="AY357" s="32"/>
    </row>
    <row r="358" spans="1:51" ht="16.5" customHeight="1">
      <c r="A358" s="33" t="s">
        <v>216</v>
      </c>
      <c r="B358" s="33" t="s">
        <v>3097</v>
      </c>
      <c r="C358" s="33" t="s">
        <v>193</v>
      </c>
      <c r="D358" s="108" t="s">
        <v>3098</v>
      </c>
      <c r="E358" s="34" t="s">
        <v>228</v>
      </c>
      <c r="F358" s="34" t="s">
        <v>3099</v>
      </c>
      <c r="G358" s="83" t="s">
        <v>2634</v>
      </c>
      <c r="H358" s="34"/>
      <c r="I358" s="35" t="s">
        <v>3100</v>
      </c>
      <c r="J358" s="36">
        <v>43587</v>
      </c>
      <c r="K358" s="36"/>
      <c r="L358" s="85">
        <v>45535</v>
      </c>
      <c r="M358" s="37" t="s">
        <v>153</v>
      </c>
      <c r="N358" s="37" t="s">
        <v>1092</v>
      </c>
      <c r="O358" s="38" t="s">
        <v>3101</v>
      </c>
      <c r="P358" s="38" t="s">
        <v>711</v>
      </c>
      <c r="Q358" s="37" t="s">
        <v>209</v>
      </c>
      <c r="R358" s="36">
        <v>37677</v>
      </c>
      <c r="S358" s="37" t="s">
        <v>275</v>
      </c>
      <c r="T358" s="36">
        <v>37410</v>
      </c>
      <c r="U358" s="37"/>
      <c r="V358" s="36"/>
      <c r="W358" s="37"/>
      <c r="X358" s="36"/>
      <c r="Y358" s="37"/>
      <c r="Z358" s="37"/>
      <c r="AA358" s="36"/>
      <c r="AB358" s="37"/>
      <c r="AC358" s="39">
        <v>177</v>
      </c>
      <c r="AD358" s="38" t="str">
        <f t="shared" si="18"/>
        <v>14년 9개월</v>
      </c>
      <c r="AE358" s="39">
        <f ca="1">(재직자!$AL$1-J358)/30</f>
        <v>84.233333333333334</v>
      </c>
      <c r="AF358" s="39" t="str">
        <f t="shared" ca="1" si="19"/>
        <v>7년 0개월</v>
      </c>
      <c r="AG358" s="39">
        <f t="shared" ca="1" si="20"/>
        <v>261.23333333333335</v>
      </c>
      <c r="AH358" s="39" t="str">
        <f t="shared" ca="1" si="21"/>
        <v>21년 9개월</v>
      </c>
      <c r="AI358" s="43" t="s">
        <v>3102</v>
      </c>
      <c r="AJ358" s="33" t="s">
        <v>3103</v>
      </c>
      <c r="AK358" s="62" t="s">
        <v>3104</v>
      </c>
      <c r="AL358" s="90"/>
      <c r="AM358" s="37" t="s">
        <v>3105</v>
      </c>
      <c r="AN358" s="54" t="s">
        <v>3106</v>
      </c>
      <c r="AO358" s="32"/>
      <c r="AP358" s="32" t="s">
        <v>2190</v>
      </c>
      <c r="AQ358" s="32"/>
      <c r="AR358" s="32"/>
      <c r="AS358" s="32"/>
      <c r="AT358" s="32"/>
      <c r="AU358" s="32"/>
      <c r="AV358" s="32"/>
      <c r="AW358" s="32"/>
      <c r="AX358" s="32"/>
      <c r="AY358" s="32"/>
    </row>
    <row r="359" spans="1:51" ht="15.75" customHeight="1">
      <c r="A359" s="33" t="s">
        <v>2201</v>
      </c>
      <c r="B359" s="86">
        <v>240201</v>
      </c>
      <c r="C359" s="86" t="s">
        <v>2369</v>
      </c>
      <c r="D359" s="98" t="s">
        <v>3107</v>
      </c>
      <c r="E359" s="86" t="s">
        <v>472</v>
      </c>
      <c r="F359" s="37"/>
      <c r="G359" s="83" t="s">
        <v>2402</v>
      </c>
      <c r="H359" s="37"/>
      <c r="I359" s="86" t="s">
        <v>3108</v>
      </c>
      <c r="J359" s="85">
        <v>45323</v>
      </c>
      <c r="K359" s="36"/>
      <c r="L359" s="85">
        <v>45535</v>
      </c>
      <c r="M359" s="86" t="s">
        <v>3109</v>
      </c>
      <c r="N359" s="86" t="s">
        <v>474</v>
      </c>
      <c r="O359" s="86" t="s">
        <v>2699</v>
      </c>
      <c r="P359" s="86" t="s">
        <v>711</v>
      </c>
      <c r="Q359" s="86" t="s">
        <v>209</v>
      </c>
      <c r="R359" s="100">
        <v>33635</v>
      </c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91">
        <v>390.4</v>
      </c>
      <c r="AD359" s="38" t="str">
        <f t="shared" si="18"/>
        <v>32년 6개월</v>
      </c>
      <c r="AE359" s="39">
        <f ca="1">(재직자!$AL$1-J359)/30</f>
        <v>26.366666666666667</v>
      </c>
      <c r="AF359" s="39" t="str">
        <f t="shared" ca="1" si="19"/>
        <v>2년 2개월</v>
      </c>
      <c r="AG359" s="39">
        <f t="shared" ca="1" si="20"/>
        <v>416.76666666666665</v>
      </c>
      <c r="AH359" s="39" t="str">
        <f t="shared" ca="1" si="21"/>
        <v>34년 8개월</v>
      </c>
      <c r="AI359" s="96" t="s">
        <v>3110</v>
      </c>
      <c r="AJ359" s="86" t="s">
        <v>3111</v>
      </c>
      <c r="AK359" s="96" t="s">
        <v>3112</v>
      </c>
      <c r="AL359" s="37"/>
      <c r="AM359" s="86" t="s">
        <v>3113</v>
      </c>
      <c r="AN359" s="37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</row>
    <row r="360" spans="1:51" ht="16.5" customHeight="1">
      <c r="A360" s="33" t="s">
        <v>341</v>
      </c>
      <c r="B360" s="37">
        <v>200302</v>
      </c>
      <c r="C360" s="112" t="s">
        <v>193</v>
      </c>
      <c r="D360" s="104" t="s">
        <v>3114</v>
      </c>
      <c r="E360" s="37" t="s">
        <v>44</v>
      </c>
      <c r="F360" s="38" t="s">
        <v>3115</v>
      </c>
      <c r="G360" s="83" t="s">
        <v>2874</v>
      </c>
      <c r="H360" s="34"/>
      <c r="I360" s="37" t="s">
        <v>3116</v>
      </c>
      <c r="J360" s="36">
        <v>43899</v>
      </c>
      <c r="K360" s="36">
        <v>44228</v>
      </c>
      <c r="L360" s="85">
        <v>45565</v>
      </c>
      <c r="M360" s="37" t="s">
        <v>153</v>
      </c>
      <c r="N360" s="37" t="s">
        <v>3117</v>
      </c>
      <c r="O360" s="37" t="s">
        <v>3118</v>
      </c>
      <c r="P360" s="37" t="s">
        <v>763</v>
      </c>
      <c r="Q360" s="37" t="s">
        <v>209</v>
      </c>
      <c r="R360" s="36">
        <v>42783</v>
      </c>
      <c r="S360" s="37"/>
      <c r="T360" s="36"/>
      <c r="U360" s="37"/>
      <c r="V360" s="36"/>
      <c r="W360" s="37"/>
      <c r="X360" s="37"/>
      <c r="Y360" s="37"/>
      <c r="Z360" s="37"/>
      <c r="AA360" s="37"/>
      <c r="AB360" s="37"/>
      <c r="AC360" s="39">
        <v>36</v>
      </c>
      <c r="AD360" s="37" t="str">
        <f t="shared" si="18"/>
        <v>3년 0개월</v>
      </c>
      <c r="AE360" s="39">
        <f ca="1">(재직자!$AL$1-J360)/30</f>
        <v>73.833333333333329</v>
      </c>
      <c r="AF360" s="37" t="str">
        <f t="shared" ca="1" si="19"/>
        <v>6년 1개월</v>
      </c>
      <c r="AG360" s="39">
        <f t="shared" ca="1" si="20"/>
        <v>109.83333333333333</v>
      </c>
      <c r="AH360" s="39" t="str">
        <f t="shared" ca="1" si="21"/>
        <v>9년 1개월</v>
      </c>
      <c r="AI360" s="44" t="s">
        <v>3119</v>
      </c>
      <c r="AJ360" s="37" t="s">
        <v>3120</v>
      </c>
      <c r="AK360" s="50" t="s">
        <v>3121</v>
      </c>
      <c r="AL360" s="37"/>
      <c r="AM360" s="37" t="s">
        <v>3122</v>
      </c>
      <c r="AN360" s="54" t="s">
        <v>1446</v>
      </c>
      <c r="AO360" s="32"/>
      <c r="AP360" s="32" t="s">
        <v>2190</v>
      </c>
      <c r="AQ360" s="32"/>
      <c r="AR360" s="32"/>
      <c r="AS360" s="32"/>
      <c r="AT360" s="32"/>
      <c r="AU360" s="32"/>
      <c r="AV360" s="32"/>
      <c r="AW360" s="32"/>
      <c r="AX360" s="32"/>
      <c r="AY360" s="32"/>
    </row>
    <row r="361" spans="1:51" ht="16.5" customHeight="1">
      <c r="A361" s="33" t="s">
        <v>536</v>
      </c>
      <c r="B361" s="37">
        <v>200303</v>
      </c>
      <c r="C361" s="112" t="s">
        <v>193</v>
      </c>
      <c r="D361" s="104" t="s">
        <v>3123</v>
      </c>
      <c r="E361" s="37" t="s">
        <v>44</v>
      </c>
      <c r="F361" s="38"/>
      <c r="G361" s="83" t="s">
        <v>2874</v>
      </c>
      <c r="H361" s="34"/>
      <c r="I361" s="37" t="s">
        <v>3124</v>
      </c>
      <c r="J361" s="36">
        <v>43899</v>
      </c>
      <c r="K361" s="36">
        <v>44228</v>
      </c>
      <c r="L361" s="85">
        <v>45565</v>
      </c>
      <c r="M361" s="37" t="s">
        <v>153</v>
      </c>
      <c r="N361" s="37" t="s">
        <v>1182</v>
      </c>
      <c r="O361" s="37" t="s">
        <v>3125</v>
      </c>
      <c r="P361" s="37" t="s">
        <v>711</v>
      </c>
      <c r="Q361" s="37" t="s">
        <v>209</v>
      </c>
      <c r="R361" s="36">
        <v>42061</v>
      </c>
      <c r="S361" s="37" t="s">
        <v>275</v>
      </c>
      <c r="T361" s="36">
        <v>41957</v>
      </c>
      <c r="U361" s="37"/>
      <c r="V361" s="36"/>
      <c r="W361" s="37"/>
      <c r="X361" s="37"/>
      <c r="Y361" s="37"/>
      <c r="Z361" s="37"/>
      <c r="AA361" s="37"/>
      <c r="AB361" s="37"/>
      <c r="AC361" s="39">
        <v>42</v>
      </c>
      <c r="AD361" s="37" t="str">
        <f t="shared" si="18"/>
        <v>3년 6개월</v>
      </c>
      <c r="AE361" s="39">
        <f ca="1">(재직자!$AL$1-J361)/30</f>
        <v>73.833333333333329</v>
      </c>
      <c r="AF361" s="37" t="str">
        <f t="shared" ca="1" si="19"/>
        <v>6년 1개월</v>
      </c>
      <c r="AG361" s="39">
        <f t="shared" ca="1" si="20"/>
        <v>115.83333333333333</v>
      </c>
      <c r="AH361" s="39" t="str">
        <f t="shared" ca="1" si="21"/>
        <v>9년 7개월</v>
      </c>
      <c r="AI361" s="44" t="s">
        <v>3126</v>
      </c>
      <c r="AJ361" s="37" t="s">
        <v>3127</v>
      </c>
      <c r="AK361" s="50" t="s">
        <v>3128</v>
      </c>
      <c r="AL361" s="37"/>
      <c r="AM361" s="37" t="s">
        <v>3129</v>
      </c>
      <c r="AN361" s="54" t="s">
        <v>3130</v>
      </c>
      <c r="AO361" s="32"/>
      <c r="AP361" s="32" t="s">
        <v>2190</v>
      </c>
      <c r="AQ361" s="32"/>
      <c r="AR361" s="32"/>
      <c r="AS361" s="32"/>
      <c r="AT361" s="32"/>
      <c r="AU361" s="32"/>
      <c r="AV361" s="32"/>
      <c r="AW361" s="32"/>
      <c r="AX361" s="32"/>
      <c r="AY361" s="32"/>
    </row>
    <row r="362" spans="1:51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51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51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51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51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51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51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autoFilter ref="A2:AK34">
    <sortState ref="A2:AK34">
      <sortCondition ref="H2:H34"/>
    </sortState>
  </autoFilter>
  <phoneticPr fontId="28" type="noConversion"/>
  <conditionalFormatting sqref="B360:B361">
    <cfRule type="notContainsBlanks" dxfId="75" priority="1">
      <formula>LEN(TRIM(B360))&gt;0</formula>
    </cfRule>
  </conditionalFormatting>
  <conditionalFormatting sqref="B359">
    <cfRule type="notContainsBlanks" dxfId="74" priority="2">
      <formula>LEN(TRIM(B359))&gt;0</formula>
    </cfRule>
  </conditionalFormatting>
  <conditionalFormatting sqref="B358">
    <cfRule type="notContainsBlanks" dxfId="73" priority="3">
      <formula>LEN(TRIM(B358))&gt;0</formula>
    </cfRule>
  </conditionalFormatting>
  <conditionalFormatting sqref="B357">
    <cfRule type="notContainsBlanks" dxfId="72" priority="4">
      <formula>LEN(TRIM(B357))&gt;0</formula>
    </cfRule>
  </conditionalFormatting>
  <conditionalFormatting sqref="B356">
    <cfRule type="notContainsBlanks" dxfId="71" priority="5">
      <formula>LEN(TRIM(B356))&gt;0</formula>
    </cfRule>
  </conditionalFormatting>
  <conditionalFormatting sqref="B355">
    <cfRule type="notContainsBlanks" dxfId="70" priority="6">
      <formula>LEN(TRIM(B355))&gt;0</formula>
    </cfRule>
  </conditionalFormatting>
  <conditionalFormatting sqref="B354">
    <cfRule type="notContainsBlanks" dxfId="69" priority="7">
      <formula>LEN(TRIM(B354))&gt;0</formula>
    </cfRule>
  </conditionalFormatting>
  <conditionalFormatting sqref="B353">
    <cfRule type="notContainsBlanks" dxfId="68" priority="8">
      <formula>LEN(TRIM(B353))&gt;0</formula>
    </cfRule>
  </conditionalFormatting>
  <conditionalFormatting sqref="B352">
    <cfRule type="notContainsBlanks" dxfId="67" priority="9">
      <formula>LEN(TRIM(B352))&gt;0</formula>
    </cfRule>
  </conditionalFormatting>
  <conditionalFormatting sqref="B351">
    <cfRule type="notContainsBlanks" dxfId="66" priority="10">
      <formula>LEN(TRIM(B351))&gt;0</formula>
    </cfRule>
  </conditionalFormatting>
  <conditionalFormatting sqref="B350">
    <cfRule type="notContainsBlanks" dxfId="65" priority="11">
      <formula>LEN(TRIM(B350))&gt;0</formula>
    </cfRule>
  </conditionalFormatting>
  <conditionalFormatting sqref="B349">
    <cfRule type="notContainsBlanks" dxfId="64" priority="12">
      <formula>LEN(TRIM(B349))&gt;0</formula>
    </cfRule>
  </conditionalFormatting>
  <conditionalFormatting sqref="B348">
    <cfRule type="notContainsBlanks" dxfId="63" priority="13">
      <formula>LEN(TRIM(B348))&gt;0</formula>
    </cfRule>
  </conditionalFormatting>
  <conditionalFormatting sqref="B347">
    <cfRule type="notContainsBlanks" dxfId="62" priority="14">
      <formula>LEN(TRIM(B347))&gt;0</formula>
    </cfRule>
  </conditionalFormatting>
  <conditionalFormatting sqref="B346">
    <cfRule type="notContainsBlanks" dxfId="61" priority="15">
      <formula>LEN(TRIM(B346))&gt;0</formula>
    </cfRule>
  </conditionalFormatting>
  <conditionalFormatting sqref="B345">
    <cfRule type="notContainsBlanks" dxfId="60" priority="16">
      <formula>LEN(TRIM(B345))&gt;0</formula>
    </cfRule>
  </conditionalFormatting>
  <conditionalFormatting sqref="B344">
    <cfRule type="notContainsBlanks" dxfId="59" priority="17">
      <formula>LEN(TRIM(B344))&gt;0</formula>
    </cfRule>
  </conditionalFormatting>
  <conditionalFormatting sqref="B343">
    <cfRule type="notContainsBlanks" dxfId="58" priority="18">
      <formula>LEN(TRIM(B343))&gt;0</formula>
    </cfRule>
  </conditionalFormatting>
  <conditionalFormatting sqref="B342">
    <cfRule type="notContainsBlanks" dxfId="57" priority="19">
      <formula>LEN(TRIM(B342))&gt;0</formula>
    </cfRule>
  </conditionalFormatting>
  <conditionalFormatting sqref="B341">
    <cfRule type="notContainsBlanks" dxfId="56" priority="20">
      <formula>LEN(TRIM(B341))&gt;0</formula>
    </cfRule>
  </conditionalFormatting>
  <conditionalFormatting sqref="B340">
    <cfRule type="notContainsBlanks" dxfId="55" priority="21">
      <formula>LEN(TRIM(B340))&gt;0</formula>
    </cfRule>
  </conditionalFormatting>
  <conditionalFormatting sqref="B336:B339">
    <cfRule type="notContainsBlanks" dxfId="54" priority="22">
      <formula>LEN(TRIM(B336))&gt;0</formula>
    </cfRule>
  </conditionalFormatting>
  <conditionalFormatting sqref="B335">
    <cfRule type="notContainsBlanks" dxfId="53" priority="23">
      <formula>LEN(TRIM(B335))&gt;0</formula>
    </cfRule>
  </conditionalFormatting>
  <conditionalFormatting sqref="B334">
    <cfRule type="notContainsBlanks" dxfId="52" priority="24">
      <formula>LEN(TRIM(B334))&gt;0</formula>
    </cfRule>
  </conditionalFormatting>
  <conditionalFormatting sqref="B333">
    <cfRule type="notContainsBlanks" dxfId="51" priority="25">
      <formula>LEN(TRIM(B333))&gt;0</formula>
    </cfRule>
  </conditionalFormatting>
  <conditionalFormatting sqref="B332">
    <cfRule type="notContainsBlanks" dxfId="50" priority="26">
      <formula>LEN(TRIM(B332))&gt;0</formula>
    </cfRule>
  </conditionalFormatting>
  <conditionalFormatting sqref="B331">
    <cfRule type="notContainsBlanks" dxfId="49" priority="27">
      <formula>LEN(TRIM(B331))&gt;0</formula>
    </cfRule>
  </conditionalFormatting>
  <conditionalFormatting sqref="B330">
    <cfRule type="notContainsBlanks" dxfId="48" priority="28">
      <formula>LEN(TRIM(B330))&gt;0</formula>
    </cfRule>
  </conditionalFormatting>
  <conditionalFormatting sqref="B329">
    <cfRule type="notContainsBlanks" dxfId="47" priority="29">
      <formula>LEN(TRIM(B329))&gt;0</formula>
    </cfRule>
  </conditionalFormatting>
  <conditionalFormatting sqref="B328">
    <cfRule type="notContainsBlanks" dxfId="46" priority="30">
      <formula>LEN(TRIM(B328))&gt;0</formula>
    </cfRule>
  </conditionalFormatting>
  <conditionalFormatting sqref="B327">
    <cfRule type="notContainsBlanks" dxfId="45" priority="31">
      <formula>LEN(TRIM(B327))&gt;0</formula>
    </cfRule>
  </conditionalFormatting>
  <conditionalFormatting sqref="B326">
    <cfRule type="notContainsBlanks" dxfId="44" priority="32">
      <formula>LEN(TRIM(B326))&gt;0</formula>
    </cfRule>
  </conditionalFormatting>
  <conditionalFormatting sqref="B324:B325">
    <cfRule type="notContainsBlanks" dxfId="43" priority="33">
      <formula>LEN(TRIM(B324))&gt;0</formula>
    </cfRule>
  </conditionalFormatting>
  <conditionalFormatting sqref="B323">
    <cfRule type="notContainsBlanks" dxfId="42" priority="34">
      <formula>LEN(TRIM(B323))&gt;0</formula>
    </cfRule>
  </conditionalFormatting>
  <conditionalFormatting sqref="B322">
    <cfRule type="notContainsBlanks" dxfId="41" priority="35">
      <formula>LEN(TRIM(B322))&gt;0</formula>
    </cfRule>
  </conditionalFormatting>
  <conditionalFormatting sqref="B321">
    <cfRule type="notContainsBlanks" dxfId="40" priority="36">
      <formula>LEN(TRIM(B321))&gt;0</formula>
    </cfRule>
  </conditionalFormatting>
  <conditionalFormatting sqref="B320">
    <cfRule type="notContainsBlanks" dxfId="39" priority="37">
      <formula>LEN(TRIM(B320))&gt;0</formula>
    </cfRule>
  </conditionalFormatting>
  <conditionalFormatting sqref="B319">
    <cfRule type="notContainsBlanks" dxfId="38" priority="38">
      <formula>LEN(TRIM(B319))&gt;0</formula>
    </cfRule>
  </conditionalFormatting>
  <conditionalFormatting sqref="B318">
    <cfRule type="notContainsBlanks" dxfId="37" priority="39">
      <formula>LEN(TRIM(B318))&gt;0</formula>
    </cfRule>
  </conditionalFormatting>
  <conditionalFormatting sqref="B317">
    <cfRule type="notContainsBlanks" dxfId="36" priority="40">
      <formula>LEN(TRIM(B317))&gt;0</formula>
    </cfRule>
  </conditionalFormatting>
  <conditionalFormatting sqref="B316">
    <cfRule type="notContainsBlanks" dxfId="35" priority="41">
      <formula>LEN(TRIM(B316))&gt;0</formula>
    </cfRule>
  </conditionalFormatting>
  <conditionalFormatting sqref="B315">
    <cfRule type="notContainsBlanks" dxfId="34" priority="42">
      <formula>LEN(TRIM(B315))&gt;0</formula>
    </cfRule>
  </conditionalFormatting>
  <conditionalFormatting sqref="B314">
    <cfRule type="notContainsBlanks" dxfId="33" priority="43">
      <formula>LEN(TRIM(B314))&gt;0</formula>
    </cfRule>
  </conditionalFormatting>
  <conditionalFormatting sqref="B313">
    <cfRule type="notContainsBlanks" dxfId="32" priority="44">
      <formula>LEN(TRIM(B313))&gt;0</formula>
    </cfRule>
  </conditionalFormatting>
  <conditionalFormatting sqref="B312">
    <cfRule type="notContainsBlanks" dxfId="31" priority="45">
      <formula>LEN(TRIM(B312))&gt;0</formula>
    </cfRule>
  </conditionalFormatting>
  <conditionalFormatting sqref="B311">
    <cfRule type="notContainsBlanks" dxfId="30" priority="46">
      <formula>LEN(TRIM(B311))&gt;0</formula>
    </cfRule>
  </conditionalFormatting>
  <conditionalFormatting sqref="B310">
    <cfRule type="notContainsBlanks" dxfId="29" priority="47">
      <formula>LEN(TRIM(B310))&gt;0</formula>
    </cfRule>
  </conditionalFormatting>
  <conditionalFormatting sqref="B309">
    <cfRule type="notContainsBlanks" dxfId="28" priority="48">
      <formula>LEN(TRIM(B309))&gt;0</formula>
    </cfRule>
  </conditionalFormatting>
  <conditionalFormatting sqref="B308">
    <cfRule type="notContainsBlanks" dxfId="27" priority="49">
      <formula>LEN(TRIM(B308))&gt;0</formula>
    </cfRule>
  </conditionalFormatting>
  <conditionalFormatting sqref="B307">
    <cfRule type="notContainsBlanks" dxfId="26" priority="50">
      <formula>LEN(TRIM(B307))&gt;0</formula>
    </cfRule>
  </conditionalFormatting>
  <conditionalFormatting sqref="B306">
    <cfRule type="notContainsBlanks" dxfId="25" priority="51">
      <formula>LEN(TRIM(B306))&gt;0</formula>
    </cfRule>
  </conditionalFormatting>
  <conditionalFormatting sqref="B305">
    <cfRule type="notContainsBlanks" dxfId="24" priority="52">
      <formula>LEN(TRIM(B305))&gt;0</formula>
    </cfRule>
  </conditionalFormatting>
  <conditionalFormatting sqref="B304">
    <cfRule type="notContainsBlanks" dxfId="23" priority="53">
      <formula>LEN(TRIM(B304))&gt;0</formula>
    </cfRule>
  </conditionalFormatting>
  <conditionalFormatting sqref="B303">
    <cfRule type="notContainsBlanks" dxfId="22" priority="54">
      <formula>LEN(TRIM(B303))&gt;0</formula>
    </cfRule>
  </conditionalFormatting>
  <conditionalFormatting sqref="B302">
    <cfRule type="notContainsBlanks" dxfId="21" priority="55">
      <formula>LEN(TRIM(B302))&gt;0</formula>
    </cfRule>
  </conditionalFormatting>
  <conditionalFormatting sqref="B301">
    <cfRule type="notContainsBlanks" dxfId="20" priority="56">
      <formula>LEN(TRIM(B301))&gt;0</formula>
    </cfRule>
  </conditionalFormatting>
  <conditionalFormatting sqref="B299:B300">
    <cfRule type="notContainsBlanks" dxfId="19" priority="57">
      <formula>LEN(TRIM(B299))&gt;0</formula>
    </cfRule>
  </conditionalFormatting>
  <conditionalFormatting sqref="B297">
    <cfRule type="notContainsBlanks" dxfId="18" priority="58">
      <formula>LEN(TRIM(B297))&gt;0</formula>
    </cfRule>
  </conditionalFormatting>
  <conditionalFormatting sqref="B296">
    <cfRule type="notContainsBlanks" dxfId="17" priority="59">
      <formula>LEN(TRIM(B296))&gt;0</formula>
    </cfRule>
  </conditionalFormatting>
  <conditionalFormatting sqref="B295">
    <cfRule type="notContainsBlanks" dxfId="16" priority="60">
      <formula>LEN(TRIM(B295))&gt;0</formula>
    </cfRule>
  </conditionalFormatting>
  <conditionalFormatting sqref="B294">
    <cfRule type="notContainsBlanks" dxfId="15" priority="61">
      <formula>LEN(TRIM(B294))&gt;0</formula>
    </cfRule>
  </conditionalFormatting>
  <conditionalFormatting sqref="B293">
    <cfRule type="notContainsBlanks" dxfId="14" priority="62">
      <formula>LEN(TRIM(B293))&gt;0</formula>
    </cfRule>
  </conditionalFormatting>
  <conditionalFormatting sqref="B292">
    <cfRule type="notContainsBlanks" dxfId="13" priority="63">
      <formula>LEN(TRIM(B292))&gt;0</formula>
    </cfRule>
  </conditionalFormatting>
  <conditionalFormatting sqref="B291">
    <cfRule type="notContainsBlanks" dxfId="12" priority="64">
      <formula>LEN(TRIM(B291))&gt;0</formula>
    </cfRule>
  </conditionalFormatting>
  <conditionalFormatting sqref="B290">
    <cfRule type="notContainsBlanks" dxfId="11" priority="65">
      <formula>LEN(TRIM(B290))&gt;0</formula>
    </cfRule>
  </conditionalFormatting>
  <conditionalFormatting sqref="B289">
    <cfRule type="notContainsBlanks" dxfId="10" priority="66">
      <formula>LEN(TRIM(B289))&gt;0</formula>
    </cfRule>
  </conditionalFormatting>
  <conditionalFormatting sqref="B288">
    <cfRule type="notContainsBlanks" dxfId="9" priority="67">
      <formula>LEN(TRIM(B288))&gt;0</formula>
    </cfRule>
  </conditionalFormatting>
  <conditionalFormatting sqref="B287">
    <cfRule type="notContainsBlanks" dxfId="8" priority="68">
      <formula>LEN(TRIM(B287))&gt;0</formula>
    </cfRule>
  </conditionalFormatting>
  <conditionalFormatting sqref="B282:B286">
    <cfRule type="notContainsBlanks" dxfId="7" priority="69">
      <formula>LEN(TRIM(B282))&gt;0</formula>
    </cfRule>
  </conditionalFormatting>
  <conditionalFormatting sqref="B281">
    <cfRule type="notContainsBlanks" dxfId="6" priority="70">
      <formula>LEN(TRIM(B281))&gt;0</formula>
    </cfRule>
  </conditionalFormatting>
  <conditionalFormatting sqref="B280">
    <cfRule type="notContainsBlanks" dxfId="5" priority="71">
      <formula>LEN(TRIM(B280))&gt;0</formula>
    </cfRule>
  </conditionalFormatting>
  <conditionalFormatting sqref="B279">
    <cfRule type="notContainsBlanks" dxfId="4" priority="72">
      <formula>LEN(TRIM(B279))&gt;0</formula>
    </cfRule>
  </conditionalFormatting>
  <conditionalFormatting sqref="B278">
    <cfRule type="notContainsBlanks" dxfId="3" priority="73">
      <formula>LEN(TRIM(B278))&gt;0</formula>
    </cfRule>
  </conditionalFormatting>
  <conditionalFormatting sqref="B277">
    <cfRule type="notContainsBlanks" dxfId="2" priority="74">
      <formula>LEN(TRIM(B277))&gt;0</formula>
    </cfRule>
  </conditionalFormatting>
  <conditionalFormatting sqref="B276">
    <cfRule type="notContainsBlanks" dxfId="1" priority="75">
      <formula>LEN(TRIM(B276))&gt;0</formula>
    </cfRule>
  </conditionalFormatting>
  <hyperlinks>
    <hyperlink ref="AK9" r:id="rId1"/>
    <hyperlink ref="AK51" r:id="rId2"/>
    <hyperlink ref="AK53" r:id="rId3"/>
    <hyperlink ref="AK58" r:id="rId4"/>
    <hyperlink ref="AK60" r:id="rId5"/>
    <hyperlink ref="AK64" r:id="rId6"/>
    <hyperlink ref="AK66" r:id="rId7"/>
    <hyperlink ref="AK67" r:id="rId8"/>
    <hyperlink ref="AK70" r:id="rId9"/>
    <hyperlink ref="AK73" r:id="rId10"/>
    <hyperlink ref="AK74" r:id="rId11"/>
    <hyperlink ref="AK75" r:id="rId12"/>
    <hyperlink ref="AK77" r:id="rId13"/>
    <hyperlink ref="AK79" r:id="rId14"/>
    <hyperlink ref="AK82" r:id="rId15"/>
    <hyperlink ref="AK83" r:id="rId16"/>
    <hyperlink ref="AK84" r:id="rId17"/>
    <hyperlink ref="AK85" r:id="rId18"/>
    <hyperlink ref="AK86" r:id="rId19"/>
    <hyperlink ref="AK87" r:id="rId20"/>
    <hyperlink ref="AK89" r:id="rId21"/>
    <hyperlink ref="AK90" r:id="rId22"/>
    <hyperlink ref="AK91" r:id="rId23"/>
    <hyperlink ref="AK92" r:id="rId24"/>
    <hyperlink ref="AK93" r:id="rId25"/>
    <hyperlink ref="AK94" r:id="rId26"/>
    <hyperlink ref="AK95" r:id="rId27"/>
    <hyperlink ref="AK96" r:id="rId28"/>
    <hyperlink ref="AK97" r:id="rId29"/>
    <hyperlink ref="AK98" r:id="rId30"/>
    <hyperlink ref="AK99" r:id="rId31"/>
    <hyperlink ref="AK100" r:id="rId32"/>
    <hyperlink ref="AK102" r:id="rId33"/>
    <hyperlink ref="AK103" r:id="rId34"/>
    <hyperlink ref="AK104" r:id="rId35"/>
    <hyperlink ref="AK105" r:id="rId36"/>
    <hyperlink ref="AK106" r:id="rId37"/>
    <hyperlink ref="AK107" r:id="rId38"/>
    <hyperlink ref="AK108" r:id="rId39"/>
    <hyperlink ref="AK109" r:id="rId40"/>
    <hyperlink ref="AK110" r:id="rId41"/>
    <hyperlink ref="AK111" r:id="rId42"/>
    <hyperlink ref="AK112" r:id="rId43"/>
    <hyperlink ref="AK113" r:id="rId44"/>
    <hyperlink ref="AK114" r:id="rId45"/>
    <hyperlink ref="AK115" r:id="rId46"/>
    <hyperlink ref="AK116" r:id="rId47"/>
    <hyperlink ref="AK117" r:id="rId48"/>
    <hyperlink ref="AK118" r:id="rId49"/>
    <hyperlink ref="AK119" r:id="rId50"/>
    <hyperlink ref="AK120" r:id="rId51"/>
    <hyperlink ref="AK121" r:id="rId52"/>
    <hyperlink ref="AK122" r:id="rId53"/>
    <hyperlink ref="AK123" r:id="rId54"/>
    <hyperlink ref="AK124" r:id="rId55"/>
    <hyperlink ref="AK126" r:id="rId56"/>
    <hyperlink ref="AK127" r:id="rId57"/>
    <hyperlink ref="AK128" r:id="rId58"/>
    <hyperlink ref="AK129" r:id="rId59"/>
    <hyperlink ref="AK130" r:id="rId60"/>
    <hyperlink ref="AK131" r:id="rId61"/>
    <hyperlink ref="AK132" r:id="rId62"/>
    <hyperlink ref="AK133" r:id="rId63"/>
    <hyperlink ref="AK135" r:id="rId64"/>
    <hyperlink ref="AK136" r:id="rId65"/>
    <hyperlink ref="AK137" r:id="rId66"/>
    <hyperlink ref="AK138" r:id="rId67"/>
    <hyperlink ref="AK139" r:id="rId68"/>
    <hyperlink ref="AK140" r:id="rId69"/>
    <hyperlink ref="AK141" r:id="rId70"/>
    <hyperlink ref="AK142" r:id="rId71"/>
    <hyperlink ref="AK143" r:id="rId72"/>
    <hyperlink ref="AK144" r:id="rId73"/>
    <hyperlink ref="AK145" r:id="rId74"/>
    <hyperlink ref="AK146" r:id="rId75"/>
    <hyperlink ref="AK147" r:id="rId76"/>
    <hyperlink ref="AK148" r:id="rId77"/>
    <hyperlink ref="AK149" r:id="rId78"/>
    <hyperlink ref="AK150" r:id="rId79"/>
    <hyperlink ref="AK151" r:id="rId80"/>
    <hyperlink ref="AK152" r:id="rId81"/>
    <hyperlink ref="AK153" r:id="rId82"/>
    <hyperlink ref="AK154" r:id="rId83"/>
    <hyperlink ref="AK155" r:id="rId84"/>
    <hyperlink ref="AK156" r:id="rId85"/>
    <hyperlink ref="AK157" r:id="rId86"/>
    <hyperlink ref="AK158" r:id="rId87"/>
    <hyperlink ref="AK159" r:id="rId88"/>
    <hyperlink ref="AK160" r:id="rId89"/>
    <hyperlink ref="AK161" r:id="rId90"/>
    <hyperlink ref="AK162" r:id="rId91"/>
    <hyperlink ref="AK163" r:id="rId92"/>
    <hyperlink ref="AK164" r:id="rId93"/>
    <hyperlink ref="AK165" r:id="rId94"/>
    <hyperlink ref="AK166" r:id="rId95"/>
    <hyperlink ref="AK167" r:id="rId96"/>
    <hyperlink ref="AK169" r:id="rId97"/>
    <hyperlink ref="AK170" r:id="rId98"/>
    <hyperlink ref="AK171" r:id="rId99"/>
    <hyperlink ref="AK172" r:id="rId100"/>
    <hyperlink ref="AK173" r:id="rId101"/>
    <hyperlink ref="AK174" r:id="rId102"/>
    <hyperlink ref="AK176" r:id="rId103"/>
    <hyperlink ref="AK177" r:id="rId104"/>
    <hyperlink ref="AK178" r:id="rId105"/>
    <hyperlink ref="AK179" r:id="rId106"/>
    <hyperlink ref="AK180" r:id="rId107"/>
    <hyperlink ref="AK181" r:id="rId108"/>
    <hyperlink ref="AK182" r:id="rId109"/>
    <hyperlink ref="AK183" r:id="rId110"/>
    <hyperlink ref="AK185" r:id="rId111"/>
    <hyperlink ref="AK188" r:id="rId112"/>
    <hyperlink ref="AK189" r:id="rId113"/>
    <hyperlink ref="AK190" r:id="rId114"/>
    <hyperlink ref="AK191" r:id="rId115"/>
    <hyperlink ref="AK192" r:id="rId116"/>
    <hyperlink ref="AK193" r:id="rId117"/>
    <hyperlink ref="AK194" r:id="rId118"/>
    <hyperlink ref="AK195" r:id="rId119"/>
    <hyperlink ref="AK196" r:id="rId120"/>
    <hyperlink ref="AK197" r:id="rId121"/>
    <hyperlink ref="AK198" r:id="rId122"/>
    <hyperlink ref="AK199" r:id="rId123"/>
    <hyperlink ref="AK200" r:id="rId124"/>
    <hyperlink ref="AK201" r:id="rId125"/>
    <hyperlink ref="AK202" r:id="rId126"/>
    <hyperlink ref="AK203" r:id="rId127"/>
    <hyperlink ref="AK204" r:id="rId128"/>
    <hyperlink ref="AK205" r:id="rId129"/>
    <hyperlink ref="AK206" r:id="rId130"/>
    <hyperlink ref="AK207" r:id="rId131"/>
    <hyperlink ref="AK209" r:id="rId132"/>
    <hyperlink ref="AK210" r:id="rId133"/>
    <hyperlink ref="AK211" r:id="rId134"/>
    <hyperlink ref="AK212" r:id="rId135"/>
    <hyperlink ref="AK213" r:id="rId136"/>
    <hyperlink ref="AK214" r:id="rId137"/>
    <hyperlink ref="AK215" r:id="rId138"/>
    <hyperlink ref="AK216" r:id="rId139"/>
    <hyperlink ref="AK217" r:id="rId140"/>
    <hyperlink ref="AK218" r:id="rId141"/>
    <hyperlink ref="AK219" r:id="rId142"/>
    <hyperlink ref="AK220" r:id="rId143"/>
    <hyperlink ref="AK221" r:id="rId144"/>
    <hyperlink ref="AK222" r:id="rId145"/>
    <hyperlink ref="AK223" r:id="rId146"/>
    <hyperlink ref="AK224" r:id="rId147"/>
    <hyperlink ref="AK225" r:id="rId148"/>
    <hyperlink ref="AK226" r:id="rId149"/>
    <hyperlink ref="AK227" r:id="rId150"/>
    <hyperlink ref="AK228" r:id="rId151"/>
    <hyperlink ref="AK229" r:id="rId152"/>
    <hyperlink ref="AK230" r:id="rId153"/>
    <hyperlink ref="AK231" r:id="rId154"/>
    <hyperlink ref="AK232" r:id="rId155"/>
    <hyperlink ref="AK233" r:id="rId156"/>
    <hyperlink ref="AK234" r:id="rId157"/>
    <hyperlink ref="AK235" r:id="rId158"/>
    <hyperlink ref="AK236" r:id="rId159"/>
    <hyperlink ref="AK237" r:id="rId160"/>
    <hyperlink ref="AK238" r:id="rId161"/>
    <hyperlink ref="AK239" r:id="rId162"/>
    <hyperlink ref="AK240" r:id="rId163"/>
    <hyperlink ref="AK241" r:id="rId164"/>
    <hyperlink ref="AK242" r:id="rId165"/>
    <hyperlink ref="AK243" r:id="rId166"/>
    <hyperlink ref="AK244" r:id="rId167"/>
    <hyperlink ref="AK245" r:id="rId168"/>
    <hyperlink ref="AK246" r:id="rId169"/>
    <hyperlink ref="AK247" r:id="rId170"/>
    <hyperlink ref="AK248" r:id="rId171"/>
    <hyperlink ref="AK249" r:id="rId172"/>
    <hyperlink ref="AK250" r:id="rId173"/>
    <hyperlink ref="AK251" r:id="rId174"/>
    <hyperlink ref="AK252" r:id="rId175"/>
    <hyperlink ref="AK253" r:id="rId176"/>
    <hyperlink ref="AK254" r:id="rId177"/>
    <hyperlink ref="AK255" r:id="rId178"/>
    <hyperlink ref="AK256" r:id="rId179"/>
    <hyperlink ref="AK257" r:id="rId180"/>
    <hyperlink ref="AK258" r:id="rId181"/>
    <hyperlink ref="AK259" r:id="rId182"/>
    <hyperlink ref="AK260" r:id="rId183"/>
    <hyperlink ref="AK261" r:id="rId184"/>
    <hyperlink ref="AK262" r:id="rId185"/>
    <hyperlink ref="AK263" r:id="rId186"/>
    <hyperlink ref="AK264" r:id="rId187"/>
    <hyperlink ref="AK265" r:id="rId188"/>
    <hyperlink ref="AK266" r:id="rId189"/>
    <hyperlink ref="AK267" r:id="rId190"/>
    <hyperlink ref="AK268" r:id="rId191"/>
    <hyperlink ref="AK269" r:id="rId192"/>
    <hyperlink ref="AK270" r:id="rId193"/>
    <hyperlink ref="AK271" r:id="rId194"/>
    <hyperlink ref="AK272" r:id="rId195"/>
    <hyperlink ref="AK273" r:id="rId196"/>
    <hyperlink ref="AK274" r:id="rId197"/>
    <hyperlink ref="AK277" r:id="rId198"/>
    <hyperlink ref="AK278" r:id="rId199"/>
    <hyperlink ref="AK280" r:id="rId200"/>
    <hyperlink ref="AK285" r:id="rId201"/>
    <hyperlink ref="AK286" r:id="rId202"/>
    <hyperlink ref="AK288" r:id="rId203"/>
    <hyperlink ref="AK290" r:id="rId204"/>
    <hyperlink ref="AK291" r:id="rId205"/>
    <hyperlink ref="AK292" r:id="rId206"/>
    <hyperlink ref="AK293" r:id="rId207"/>
    <hyperlink ref="AK298" r:id="rId208"/>
    <hyperlink ref="AK299" r:id="rId209"/>
    <hyperlink ref="AK301" r:id="rId210"/>
    <hyperlink ref="AK304" r:id="rId211"/>
    <hyperlink ref="AK306" r:id="rId212"/>
    <hyperlink ref="AK308" r:id="rId213"/>
    <hyperlink ref="AK310" r:id="rId214"/>
    <hyperlink ref="AK311" r:id="rId215"/>
    <hyperlink ref="AK312" r:id="rId216"/>
    <hyperlink ref="AK315" r:id="rId217"/>
    <hyperlink ref="AK317" r:id="rId218"/>
    <hyperlink ref="AK318" r:id="rId219"/>
    <hyperlink ref="AK319" r:id="rId220"/>
    <hyperlink ref="AK326" r:id="rId221"/>
    <hyperlink ref="AK327" r:id="rId222"/>
    <hyperlink ref="AK332" r:id="rId223"/>
    <hyperlink ref="AK333" r:id="rId224"/>
    <hyperlink ref="AK337" r:id="rId225"/>
    <hyperlink ref="AK338" r:id="rId226"/>
    <hyperlink ref="AK339" r:id="rId227"/>
    <hyperlink ref="AK341" r:id="rId228"/>
    <hyperlink ref="AK342" r:id="rId229"/>
    <hyperlink ref="AK344" r:id="rId230"/>
    <hyperlink ref="AK349" r:id="rId231"/>
    <hyperlink ref="AK350" r:id="rId232"/>
    <hyperlink ref="AK351" r:id="rId233"/>
    <hyperlink ref="AK352" r:id="rId234"/>
    <hyperlink ref="AK353" r:id="rId235"/>
    <hyperlink ref="AK355" r:id="rId236"/>
    <hyperlink ref="AK356" r:id="rId237"/>
    <hyperlink ref="AK357" r:id="rId238"/>
    <hyperlink ref="AK358" r:id="rId239"/>
    <hyperlink ref="AK360" r:id="rId240"/>
    <hyperlink ref="AK361" r:id="rId241"/>
  </hyperlink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899"/>
  <sheetViews>
    <sheetView showGridLines="0" tabSelected="1" workbookViewId="0">
      <pane xSplit="4" ySplit="2" topLeftCell="E75" activePane="bottomRight" state="frozen"/>
      <selection pane="topRight" activeCell="E1" sqref="E1"/>
      <selection pane="bottomLeft" activeCell="A3" sqref="A3"/>
      <selection pane="bottomRight" activeCell="I83" sqref="I83"/>
    </sheetView>
  </sheetViews>
  <sheetFormatPr defaultColWidth="14.42578125" defaultRowHeight="15" customHeight="1"/>
  <cols>
    <col min="1" max="1" width="5.7109375" customWidth="1"/>
    <col min="2" max="3" width="8.42578125" customWidth="1"/>
    <col min="4" max="5" width="8.140625" customWidth="1"/>
    <col min="6" max="6" width="6.7109375" customWidth="1"/>
    <col min="7" max="7" width="11.85546875" customWidth="1"/>
    <col min="8" max="8" width="27.28515625" customWidth="1"/>
    <col min="9" max="9" width="18.5703125" customWidth="1"/>
    <col min="10" max="10" width="17" customWidth="1"/>
    <col min="11" max="11" width="14.140625" customWidth="1"/>
    <col min="12" max="12" width="12" customWidth="1"/>
    <col min="13" max="13" width="14" customWidth="1"/>
    <col min="14" max="14" width="11.42578125" customWidth="1"/>
    <col min="15" max="15" width="22.28515625" customWidth="1"/>
    <col min="16" max="16" width="19.85546875" customWidth="1"/>
    <col min="17" max="17" width="8" customWidth="1"/>
    <col min="18" max="18" width="8.7109375" customWidth="1"/>
    <col min="19" max="19" width="14.140625" customWidth="1"/>
    <col min="20" max="20" width="17.5703125" customWidth="1"/>
    <col min="21" max="21" width="14.42578125" customWidth="1"/>
    <col min="22" max="22" width="17.5703125" customWidth="1"/>
    <col min="23" max="23" width="14.42578125" customWidth="1"/>
    <col min="24" max="25" width="17.5703125" customWidth="1"/>
    <col min="26" max="26" width="12.7109375" customWidth="1"/>
    <col min="27" max="27" width="11.28515625" customWidth="1"/>
    <col min="28" max="28" width="13.28515625" customWidth="1"/>
    <col min="29" max="29" width="17.140625" customWidth="1"/>
    <col min="30" max="30" width="19" customWidth="1"/>
    <col min="31" max="31" width="19.28515625" customWidth="1"/>
    <col min="32" max="32" width="10.5703125" customWidth="1"/>
    <col min="33" max="33" width="15.42578125" customWidth="1"/>
    <col min="34" max="34" width="13.28515625" customWidth="1"/>
    <col min="35" max="35" width="14.140625" customWidth="1"/>
    <col min="36" max="36" width="66.28515625" customWidth="1"/>
    <col min="37" max="37" width="15" customWidth="1"/>
    <col min="38" max="38" width="22.7109375" customWidth="1"/>
    <col min="39" max="39" width="9" customWidth="1"/>
    <col min="40" max="40" width="14" customWidth="1"/>
    <col min="41" max="41" width="11.28515625" customWidth="1"/>
    <col min="42" max="52" width="9" customWidth="1"/>
  </cols>
  <sheetData>
    <row r="1" spans="1:52" ht="15" customHeight="1">
      <c r="A1" s="121"/>
      <c r="B1" s="122"/>
      <c r="C1" s="122"/>
      <c r="D1" s="123"/>
      <c r="E1" s="123"/>
      <c r="F1" s="122"/>
      <c r="G1" s="122"/>
      <c r="H1" s="124"/>
      <c r="I1" s="122"/>
      <c r="J1" s="122"/>
      <c r="K1" s="122"/>
      <c r="L1" s="125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6"/>
      <c r="AE1" s="122"/>
      <c r="AF1" s="126"/>
      <c r="AG1" s="122"/>
      <c r="AH1" s="126"/>
      <c r="AI1" s="122"/>
      <c r="AJ1" s="32"/>
      <c r="AK1" s="122" t="s">
        <v>0</v>
      </c>
      <c r="AL1" s="127">
        <f ca="1">TODAY()</f>
        <v>46114</v>
      </c>
      <c r="AM1" s="122"/>
      <c r="AN1" s="122"/>
      <c r="AO1" s="12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</row>
    <row r="2" spans="1:52" ht="15" customHeight="1">
      <c r="A2" s="128" t="s">
        <v>1</v>
      </c>
      <c r="B2" s="128" t="s">
        <v>2</v>
      </c>
      <c r="C2" s="128" t="s">
        <v>1</v>
      </c>
      <c r="D2" s="129" t="s">
        <v>3</v>
      </c>
      <c r="E2" s="129"/>
      <c r="F2" s="128" t="s">
        <v>3131</v>
      </c>
      <c r="G2" s="130" t="s">
        <v>3132</v>
      </c>
      <c r="H2" s="131" t="s">
        <v>5</v>
      </c>
      <c r="I2" s="128" t="s">
        <v>3133</v>
      </c>
      <c r="J2" s="130" t="s">
        <v>7</v>
      </c>
      <c r="K2" s="130" t="s">
        <v>8</v>
      </c>
      <c r="L2" s="132" t="s">
        <v>9</v>
      </c>
      <c r="M2" s="130" t="s">
        <v>10</v>
      </c>
      <c r="N2" s="130" t="s">
        <v>11</v>
      </c>
      <c r="O2" s="130" t="s">
        <v>12</v>
      </c>
      <c r="P2" s="130" t="s">
        <v>13</v>
      </c>
      <c r="Q2" s="130" t="s">
        <v>3134</v>
      </c>
      <c r="R2" s="130" t="s">
        <v>14</v>
      </c>
      <c r="S2" s="130" t="s">
        <v>3135</v>
      </c>
      <c r="T2" s="130" t="s">
        <v>15</v>
      </c>
      <c r="U2" s="130" t="s">
        <v>16</v>
      </c>
      <c r="V2" s="130" t="s">
        <v>17</v>
      </c>
      <c r="W2" s="130" t="s">
        <v>16</v>
      </c>
      <c r="X2" s="130" t="s">
        <v>18</v>
      </c>
      <c r="Y2" s="130" t="s">
        <v>16</v>
      </c>
      <c r="Z2" s="130" t="s">
        <v>3136</v>
      </c>
      <c r="AA2" s="130" t="s">
        <v>20</v>
      </c>
      <c r="AB2" s="130" t="s">
        <v>21</v>
      </c>
      <c r="AC2" s="130" t="s">
        <v>3137</v>
      </c>
      <c r="AD2" s="133" t="s">
        <v>3138</v>
      </c>
      <c r="AE2" s="130" t="s">
        <v>24</v>
      </c>
      <c r="AF2" s="133" t="s">
        <v>25</v>
      </c>
      <c r="AG2" s="130" t="s">
        <v>26</v>
      </c>
      <c r="AH2" s="133" t="s">
        <v>27</v>
      </c>
      <c r="AI2" s="130" t="s">
        <v>28</v>
      </c>
      <c r="AJ2" s="128" t="s">
        <v>29</v>
      </c>
      <c r="AK2" s="128" t="s">
        <v>30</v>
      </c>
      <c r="AL2" s="128" t="s">
        <v>31</v>
      </c>
      <c r="AM2" s="134" t="s">
        <v>3139</v>
      </c>
      <c r="AN2" s="134" t="s">
        <v>3140</v>
      </c>
      <c r="AO2" s="135" t="s">
        <v>3141</v>
      </c>
      <c r="AP2" s="32"/>
      <c r="AQ2" s="32" t="s">
        <v>3142</v>
      </c>
      <c r="AR2" s="32" t="s">
        <v>3143</v>
      </c>
      <c r="AS2" s="32" t="s">
        <v>3144</v>
      </c>
      <c r="AT2" s="32" t="s">
        <v>3145</v>
      </c>
      <c r="AU2" s="32"/>
      <c r="AV2" s="32"/>
      <c r="AW2" s="32"/>
      <c r="AX2" s="32"/>
      <c r="AY2" s="32"/>
      <c r="AZ2" s="32"/>
    </row>
    <row r="3" spans="1:52" ht="15" customHeight="1">
      <c r="A3" s="33" t="s">
        <v>2384</v>
      </c>
      <c r="B3" s="81" t="s">
        <v>3761</v>
      </c>
      <c r="C3" s="33" t="s">
        <v>3762</v>
      </c>
      <c r="D3" s="108" t="s">
        <v>3763</v>
      </c>
      <c r="E3" s="108">
        <v>1</v>
      </c>
      <c r="F3" s="82" t="s">
        <v>88</v>
      </c>
      <c r="G3" s="82"/>
      <c r="H3" s="80" t="s">
        <v>4131</v>
      </c>
      <c r="I3" s="34"/>
      <c r="J3" s="84">
        <v>9001051262312</v>
      </c>
      <c r="K3" s="85">
        <v>44705</v>
      </c>
      <c r="L3" s="36"/>
      <c r="M3" s="36"/>
      <c r="N3" s="37" t="s">
        <v>196</v>
      </c>
      <c r="O3" s="37" t="s">
        <v>318</v>
      </c>
      <c r="P3" s="87" t="s">
        <v>3764</v>
      </c>
      <c r="Q3" s="87" t="s">
        <v>711</v>
      </c>
      <c r="R3" s="37" t="s">
        <v>198</v>
      </c>
      <c r="S3" s="36">
        <v>44057</v>
      </c>
      <c r="T3" s="37" t="s">
        <v>2092</v>
      </c>
      <c r="U3" s="85">
        <v>42636</v>
      </c>
      <c r="V3" s="37" t="s">
        <v>3765</v>
      </c>
      <c r="W3" s="85">
        <v>2016.1</v>
      </c>
      <c r="X3" s="37"/>
      <c r="Y3" s="85"/>
      <c r="Z3" s="37"/>
      <c r="AA3" s="37"/>
      <c r="AB3" s="85"/>
      <c r="AC3" s="37"/>
      <c r="AD3" s="39">
        <v>68</v>
      </c>
      <c r="AE3" s="87" t="str">
        <f>(TRUNC(AD3/12))&amp;"년 "&amp;(ROUNDDOWN(MOD(AD3,12),0))&amp;"개월"</f>
        <v>5년 8개월</v>
      </c>
      <c r="AF3" s="39">
        <f ca="1">($AL$1-K3)/30</f>
        <v>46.966666666666669</v>
      </c>
      <c r="AG3" s="91" t="str">
        <f ca="1">(TRUNC(AF3/12))&amp;"년 "&amp;(ROUNDDOWN(MOD(AF3,12),0))&amp;"개월"</f>
        <v>3년 10개월</v>
      </c>
      <c r="AH3" s="39">
        <f ca="1">+AD3+AF3</f>
        <v>114.96666666666667</v>
      </c>
      <c r="AI3" s="91" t="str">
        <f ca="1">(TRUNC(AH3/12))&amp;"년 "&amp;(ROUNDDOWN(MOD(AH3,12),0))&amp;"개월"</f>
        <v>9년 6개월</v>
      </c>
      <c r="AJ3" s="88" t="s">
        <v>3766</v>
      </c>
      <c r="AK3" s="81" t="s">
        <v>3767</v>
      </c>
      <c r="AL3" s="92" t="s">
        <v>3768</v>
      </c>
      <c r="AM3" s="90"/>
      <c r="AN3" s="37" t="s">
        <v>3769</v>
      </c>
      <c r="AO3" s="54"/>
      <c r="AP3" s="32"/>
      <c r="AQ3" s="32" t="s">
        <v>2190</v>
      </c>
      <c r="AR3" s="32"/>
      <c r="AS3" s="32"/>
      <c r="AT3" s="32"/>
      <c r="AU3" s="32"/>
      <c r="AV3" s="32"/>
      <c r="AW3" s="32"/>
      <c r="AX3" s="32"/>
      <c r="AY3" s="32"/>
      <c r="AZ3" s="32"/>
    </row>
    <row r="4" spans="1:52" ht="15" customHeight="1">
      <c r="A4" s="33" t="s">
        <v>2273</v>
      </c>
      <c r="B4" s="86">
        <v>240601</v>
      </c>
      <c r="C4" s="86" t="s">
        <v>193</v>
      </c>
      <c r="D4" s="104" t="s">
        <v>4022</v>
      </c>
      <c r="E4" s="104"/>
      <c r="F4" s="86" t="s">
        <v>34</v>
      </c>
      <c r="G4" s="86"/>
      <c r="H4" s="80" t="s">
        <v>4023</v>
      </c>
      <c r="I4" s="37" t="s">
        <v>4024</v>
      </c>
      <c r="J4" s="86" t="s">
        <v>4025</v>
      </c>
      <c r="K4" s="36">
        <v>45446</v>
      </c>
      <c r="L4" s="36"/>
      <c r="M4" s="86"/>
      <c r="N4" s="37" t="s">
        <v>196</v>
      </c>
      <c r="O4" s="37" t="s">
        <v>4026</v>
      </c>
      <c r="P4" s="86" t="s">
        <v>4027</v>
      </c>
      <c r="Q4" s="86" t="s">
        <v>711</v>
      </c>
      <c r="R4" s="37" t="s">
        <v>198</v>
      </c>
      <c r="S4" s="36">
        <v>41327</v>
      </c>
      <c r="T4" s="37" t="s">
        <v>275</v>
      </c>
      <c r="U4" s="100">
        <v>42132</v>
      </c>
      <c r="V4" s="37"/>
      <c r="W4" s="86"/>
      <c r="X4" s="37"/>
      <c r="Y4" s="37"/>
      <c r="Z4" s="37"/>
      <c r="AA4" s="37"/>
      <c r="AB4" s="86"/>
      <c r="AC4" s="37" t="s">
        <v>199</v>
      </c>
      <c r="AD4" s="39">
        <v>108</v>
      </c>
      <c r="AE4" s="38" t="str">
        <f>(TRUNC(AD4/12))&amp;"년 "&amp;(ROUNDDOWN(MOD(AD4,12),0))&amp;"개월"</f>
        <v>9년 0개월</v>
      </c>
      <c r="AF4" s="39">
        <f ca="1">(재직자!$AL$1-K4)/30</f>
        <v>22.266666666666666</v>
      </c>
      <c r="AG4" s="39" t="str">
        <f ca="1">(TRUNC(AF4/12))&amp;"년 "&amp;(ROUNDDOWN(MOD(AF4,12),0))&amp;"개월"</f>
        <v>1년 10개월</v>
      </c>
      <c r="AH4" s="39">
        <f ca="1">+AD4+AF4</f>
        <v>130.26666666666665</v>
      </c>
      <c r="AI4" s="39" t="str">
        <f ca="1">(TRUNC(AH4/12))&amp;"년 "&amp;(ROUNDDOWN(MOD(AH4,12),0))&amp;"개월"</f>
        <v>10년 10개월</v>
      </c>
      <c r="AJ4" s="96" t="s">
        <v>4028</v>
      </c>
      <c r="AK4" s="86" t="s">
        <v>4029</v>
      </c>
      <c r="AL4" s="96" t="s">
        <v>4030</v>
      </c>
      <c r="AM4" s="37"/>
      <c r="AN4" s="37" t="s">
        <v>4031</v>
      </c>
      <c r="AO4" s="86"/>
      <c r="AP4" s="32"/>
      <c r="AQ4" s="32" t="s">
        <v>2190</v>
      </c>
      <c r="AR4" s="32"/>
      <c r="AS4" s="32"/>
      <c r="AT4" s="32"/>
      <c r="AU4" s="32"/>
      <c r="AV4" s="32"/>
      <c r="AW4" s="32"/>
      <c r="AX4" s="32"/>
      <c r="AY4" s="32"/>
      <c r="AZ4" s="32"/>
    </row>
    <row r="5" spans="1:52" ht="15" customHeight="1">
      <c r="A5" s="33" t="s">
        <v>2126</v>
      </c>
      <c r="B5" s="86">
        <v>240602</v>
      </c>
      <c r="C5" s="86" t="s">
        <v>4032</v>
      </c>
      <c r="D5" s="104" t="s">
        <v>4033</v>
      </c>
      <c r="E5" s="104"/>
      <c r="F5" s="86" t="s">
        <v>228</v>
      </c>
      <c r="G5" s="86"/>
      <c r="H5" s="80" t="s">
        <v>4023</v>
      </c>
      <c r="I5" s="86" t="s">
        <v>4024</v>
      </c>
      <c r="J5" s="86" t="s">
        <v>4034</v>
      </c>
      <c r="K5" s="36">
        <v>45447</v>
      </c>
      <c r="L5" s="36"/>
      <c r="M5" s="86"/>
      <c r="N5" s="37" t="s">
        <v>153</v>
      </c>
      <c r="O5" s="37" t="s">
        <v>3867</v>
      </c>
      <c r="P5" s="86" t="s">
        <v>617</v>
      </c>
      <c r="Q5" s="86" t="s">
        <v>4035</v>
      </c>
      <c r="R5" s="37" t="s">
        <v>209</v>
      </c>
      <c r="S5" s="86"/>
      <c r="T5" s="37"/>
      <c r="U5" s="86"/>
      <c r="V5" s="37"/>
      <c r="W5" s="86"/>
      <c r="X5" s="37"/>
      <c r="Y5" s="86"/>
      <c r="Z5" s="37"/>
      <c r="AA5" s="37"/>
      <c r="AB5" s="86"/>
      <c r="AC5" s="37"/>
      <c r="AD5" s="39">
        <v>200</v>
      </c>
      <c r="AE5" s="87" t="str">
        <f>(TRUNC(AD5/12))&amp;"년 "&amp;(ROUNDDOWN(MOD(AD5,12),0))&amp;"개월"</f>
        <v>16년 8개월</v>
      </c>
      <c r="AF5" s="39">
        <f ca="1">(재직자!$AL$1-K5)/30</f>
        <v>22.233333333333334</v>
      </c>
      <c r="AG5" s="39" t="str">
        <f ca="1">(TRUNC(AF5/12))&amp;"년 "&amp;(ROUNDDOWN(MOD(AF5,12),0))&amp;"개월"</f>
        <v>1년 10개월</v>
      </c>
      <c r="AH5" s="39">
        <f ca="1">+AD5+AF5</f>
        <v>222.23333333333335</v>
      </c>
      <c r="AI5" s="39" t="str">
        <f ca="1">(TRUNC(AH5/12))&amp;"년 "&amp;(ROUNDDOWN(MOD(AH5,12),0))&amp;"개월"</f>
        <v>18년 6개월</v>
      </c>
      <c r="AJ5" s="96" t="s">
        <v>4036</v>
      </c>
      <c r="AK5" s="86" t="s">
        <v>4037</v>
      </c>
      <c r="AL5" s="44" t="s">
        <v>4038</v>
      </c>
      <c r="AM5" s="37"/>
      <c r="AN5" s="37"/>
      <c r="AO5" s="86"/>
      <c r="AP5" s="32"/>
      <c r="AQ5" s="32" t="s">
        <v>2190</v>
      </c>
      <c r="AR5" s="32"/>
      <c r="AS5" s="32"/>
      <c r="AT5" s="32"/>
      <c r="AU5" s="32"/>
      <c r="AV5" s="32"/>
      <c r="AW5" s="32"/>
      <c r="AX5" s="32"/>
      <c r="AY5" s="32"/>
      <c r="AZ5" s="32"/>
    </row>
    <row r="6" spans="1:52" ht="15" customHeight="1">
      <c r="A6" s="33" t="s">
        <v>2368</v>
      </c>
      <c r="B6" s="86">
        <v>240603</v>
      </c>
      <c r="C6" s="86" t="s">
        <v>4039</v>
      </c>
      <c r="D6" s="104" t="s">
        <v>4040</v>
      </c>
      <c r="E6" s="104"/>
      <c r="F6" s="86" t="s">
        <v>228</v>
      </c>
      <c r="G6" s="86"/>
      <c r="H6" s="80" t="s">
        <v>4023</v>
      </c>
      <c r="I6" s="86" t="s">
        <v>4024</v>
      </c>
      <c r="J6" s="86" t="s">
        <v>4041</v>
      </c>
      <c r="K6" s="36">
        <v>45450</v>
      </c>
      <c r="L6" s="36"/>
      <c r="M6" s="146"/>
      <c r="N6" s="37" t="s">
        <v>146</v>
      </c>
      <c r="O6" s="37" t="s">
        <v>4042</v>
      </c>
      <c r="P6" s="86" t="s">
        <v>4043</v>
      </c>
      <c r="Q6" s="86" t="s">
        <v>2412</v>
      </c>
      <c r="R6" s="37" t="s">
        <v>265</v>
      </c>
      <c r="S6" s="36">
        <v>37309</v>
      </c>
      <c r="T6" s="37"/>
      <c r="U6" s="86"/>
      <c r="V6" s="37"/>
      <c r="W6" s="86"/>
      <c r="X6" s="37"/>
      <c r="Y6" s="37"/>
      <c r="Z6" s="37"/>
      <c r="AA6" s="37"/>
      <c r="AB6" s="86"/>
      <c r="AC6" s="37"/>
      <c r="AD6" s="39">
        <v>151.5</v>
      </c>
      <c r="AE6" s="87" t="str">
        <f>(TRUNC(AD6/12))&amp;"년 "&amp;(ROUNDDOWN(MOD(AD6,12),0))&amp;"개월"</f>
        <v>12년 7개월</v>
      </c>
      <c r="AF6" s="39">
        <f ca="1">(재직자!$AL$1-K6)/30</f>
        <v>22.133333333333333</v>
      </c>
      <c r="AG6" s="91" t="str">
        <f ca="1">(TRUNC(AF6/12))&amp;"년 "&amp;(ROUNDDOWN(MOD(AF6,12),0))&amp;"개월"</f>
        <v>1년 10개월</v>
      </c>
      <c r="AH6" s="39">
        <f ca="1">+AD6+AF6</f>
        <v>173.63333333333333</v>
      </c>
      <c r="AI6" s="39" t="str">
        <f ca="1">(TRUNC(AH6/12))&amp;"년 "&amp;(ROUNDDOWN(MOD(AH6,12),0))&amp;"개월"</f>
        <v>14년 5개월</v>
      </c>
      <c r="AJ6" s="96" t="s">
        <v>4044</v>
      </c>
      <c r="AK6" s="86" t="s">
        <v>4045</v>
      </c>
      <c r="AL6" s="151" t="s">
        <v>4046</v>
      </c>
      <c r="AM6" s="37"/>
      <c r="AN6" s="37" t="s">
        <v>4047</v>
      </c>
      <c r="AO6" s="86"/>
      <c r="AP6" s="32"/>
      <c r="AQ6" s="32" t="s">
        <v>2190</v>
      </c>
      <c r="AR6" s="32"/>
      <c r="AS6" s="32"/>
      <c r="AT6" s="32"/>
      <c r="AU6" s="32"/>
      <c r="AV6" s="32"/>
      <c r="AW6" s="32"/>
      <c r="AX6" s="32"/>
      <c r="AY6" s="32"/>
      <c r="AZ6" s="32"/>
    </row>
    <row r="7" spans="1:52" ht="15" customHeight="1">
      <c r="A7" s="33" t="s">
        <v>2736</v>
      </c>
      <c r="B7" s="86">
        <v>240703</v>
      </c>
      <c r="C7" s="86" t="s">
        <v>2513</v>
      </c>
      <c r="D7" s="104" t="s">
        <v>4048</v>
      </c>
      <c r="E7" s="104"/>
      <c r="F7" s="86" t="s">
        <v>51</v>
      </c>
      <c r="G7" s="86"/>
      <c r="H7" s="80" t="s">
        <v>4023</v>
      </c>
      <c r="I7" s="86" t="s">
        <v>4049</v>
      </c>
      <c r="J7" s="86" t="s">
        <v>4050</v>
      </c>
      <c r="K7" s="36">
        <v>45476</v>
      </c>
      <c r="L7" s="36"/>
      <c r="M7" s="86"/>
      <c r="N7" s="37" t="s">
        <v>153</v>
      </c>
      <c r="O7" s="37" t="s">
        <v>4051</v>
      </c>
      <c r="P7" s="86" t="s">
        <v>4052</v>
      </c>
      <c r="Q7" s="86" t="s">
        <v>3874</v>
      </c>
      <c r="R7" s="37" t="s">
        <v>209</v>
      </c>
      <c r="S7" s="100">
        <v>44228</v>
      </c>
      <c r="T7" s="37"/>
      <c r="U7" s="86"/>
      <c r="V7" s="37" t="s">
        <v>1249</v>
      </c>
      <c r="W7" s="113">
        <v>45261</v>
      </c>
      <c r="X7" s="37" t="s">
        <v>2092</v>
      </c>
      <c r="Y7" s="113">
        <v>44105</v>
      </c>
      <c r="Z7" s="37" t="s">
        <v>2752</v>
      </c>
      <c r="AA7" s="100">
        <v>43952</v>
      </c>
      <c r="AB7" s="86"/>
      <c r="AC7" s="37" t="s">
        <v>210</v>
      </c>
      <c r="AD7" s="39">
        <v>38</v>
      </c>
      <c r="AE7" s="38" t="str">
        <f>(TRUNC(AD7/12))&amp;"년 "&amp;(ROUNDDOWN(MOD(AD7,12),0))&amp;"개월"</f>
        <v>3년 2개월</v>
      </c>
      <c r="AF7" s="39">
        <f ca="1">(재직자!$AL$1-K7)/30</f>
        <v>21.266666666666666</v>
      </c>
      <c r="AG7" s="39" t="str">
        <f ca="1">(TRUNC(AF7/12))&amp;"년 "&amp;(ROUNDDOWN(MOD(AF7,12),0))&amp;"개월"</f>
        <v>1년 9개월</v>
      </c>
      <c r="AH7" s="39">
        <f ca="1">+AD7+AF7</f>
        <v>59.266666666666666</v>
      </c>
      <c r="AI7" s="39" t="str">
        <f ca="1">(TRUNC(AH7/12))&amp;"년 "&amp;(ROUNDDOWN(MOD(AH7,12),0))&amp;"개월"</f>
        <v>4년 11개월</v>
      </c>
      <c r="AJ7" s="96" t="s">
        <v>4053</v>
      </c>
      <c r="AK7" s="86" t="s">
        <v>4054</v>
      </c>
      <c r="AL7" s="44" t="s">
        <v>4055</v>
      </c>
      <c r="AM7" s="37"/>
      <c r="AN7" s="37" t="s">
        <v>4056</v>
      </c>
      <c r="AO7" s="86"/>
      <c r="AP7" s="32"/>
      <c r="AQ7" s="32" t="s">
        <v>2190</v>
      </c>
      <c r="AR7" s="32"/>
      <c r="AS7" s="32"/>
      <c r="AT7" s="32"/>
      <c r="AU7" s="32"/>
      <c r="AV7" s="32"/>
      <c r="AW7" s="32"/>
      <c r="AX7" s="32"/>
      <c r="AY7" s="32"/>
      <c r="AZ7" s="32"/>
    </row>
    <row r="8" spans="1:52" ht="15" customHeight="1">
      <c r="A8" s="33" t="s">
        <v>2616</v>
      </c>
      <c r="B8" s="86">
        <v>241101</v>
      </c>
      <c r="C8" s="86" t="s">
        <v>193</v>
      </c>
      <c r="D8" s="104" t="s">
        <v>4085</v>
      </c>
      <c r="E8" s="104"/>
      <c r="F8" s="86" t="s">
        <v>228</v>
      </c>
      <c r="G8" s="86"/>
      <c r="H8" s="80" t="s">
        <v>4023</v>
      </c>
      <c r="I8" s="86" t="s">
        <v>4024</v>
      </c>
      <c r="J8" s="86" t="s">
        <v>4086</v>
      </c>
      <c r="K8" s="141">
        <v>45614</v>
      </c>
      <c r="L8" s="36"/>
      <c r="M8" s="86"/>
      <c r="N8" s="86" t="s">
        <v>153</v>
      </c>
      <c r="O8" s="37" t="s">
        <v>4087</v>
      </c>
      <c r="P8" s="86" t="s">
        <v>4088</v>
      </c>
      <c r="Q8" s="86" t="s">
        <v>4089</v>
      </c>
      <c r="R8" s="37" t="s">
        <v>209</v>
      </c>
      <c r="S8" s="100">
        <v>41671</v>
      </c>
      <c r="T8" s="37" t="s">
        <v>405</v>
      </c>
      <c r="U8" s="36">
        <v>39314</v>
      </c>
      <c r="V8" s="37"/>
      <c r="W8" s="86"/>
      <c r="X8" s="37"/>
      <c r="Y8" s="37"/>
      <c r="Z8" s="37"/>
      <c r="AA8" s="37"/>
      <c r="AB8" s="86"/>
      <c r="AC8" s="37" t="s">
        <v>230</v>
      </c>
      <c r="AD8" s="39">
        <v>141</v>
      </c>
      <c r="AE8" s="38" t="str">
        <f>(TRUNC(AD8/12))&amp;"년 "&amp;(ROUNDDOWN(MOD(AD8,12),0))&amp;"개월"</f>
        <v>11년 9개월</v>
      </c>
      <c r="AF8" s="39">
        <f ca="1">(재직자!$AL$1-K8)/30</f>
        <v>16.666666666666668</v>
      </c>
      <c r="AG8" s="39" t="str">
        <f ca="1">(TRUNC(AF8/12))&amp;"년 "&amp;(ROUNDDOWN(MOD(AF8,12),0))&amp;"개월"</f>
        <v>1년 4개월</v>
      </c>
      <c r="AH8" s="39">
        <f ca="1">+AD8+AF8</f>
        <v>157.66666666666666</v>
      </c>
      <c r="AI8" s="39" t="str">
        <f ca="1">(TRUNC(AH8/12))&amp;"년 "&amp;(ROUNDDOWN(MOD(AH8,12),0))&amp;"개월"</f>
        <v>13년 1개월</v>
      </c>
      <c r="AJ8" s="96" t="s">
        <v>4090</v>
      </c>
      <c r="AK8" s="86" t="s">
        <v>4091</v>
      </c>
      <c r="AL8" s="44" t="s">
        <v>4092</v>
      </c>
      <c r="AM8" s="37"/>
      <c r="AN8" s="37" t="s">
        <v>4093</v>
      </c>
      <c r="AO8" s="86"/>
      <c r="AP8" s="32"/>
      <c r="AQ8" s="32" t="s">
        <v>2190</v>
      </c>
      <c r="AR8" s="32"/>
      <c r="AS8" s="32"/>
      <c r="AT8" s="32"/>
      <c r="AU8" s="32"/>
      <c r="AV8" s="32"/>
      <c r="AW8" s="32"/>
      <c r="AX8" s="32"/>
      <c r="AY8" s="32"/>
      <c r="AZ8" s="32"/>
    </row>
    <row r="9" spans="1:52" ht="15" customHeight="1">
      <c r="A9" s="33" t="s">
        <v>2352</v>
      </c>
      <c r="B9" s="86">
        <v>241102</v>
      </c>
      <c r="C9" s="86" t="s">
        <v>193</v>
      </c>
      <c r="D9" s="104" t="s">
        <v>4094</v>
      </c>
      <c r="E9" s="104"/>
      <c r="F9" s="86" t="s">
        <v>34</v>
      </c>
      <c r="G9" s="86"/>
      <c r="H9" s="80" t="s">
        <v>4023</v>
      </c>
      <c r="I9" s="86" t="s">
        <v>4024</v>
      </c>
      <c r="J9" s="86" t="s">
        <v>4095</v>
      </c>
      <c r="K9" s="141">
        <v>45614</v>
      </c>
      <c r="L9" s="36"/>
      <c r="M9" s="86"/>
      <c r="N9" s="37" t="s">
        <v>153</v>
      </c>
      <c r="O9" s="37" t="s">
        <v>4096</v>
      </c>
      <c r="P9" s="86" t="s">
        <v>4097</v>
      </c>
      <c r="Q9" s="86" t="s">
        <v>1134</v>
      </c>
      <c r="R9" s="37" t="s">
        <v>209</v>
      </c>
      <c r="S9" s="100">
        <v>40232</v>
      </c>
      <c r="T9" s="37" t="s">
        <v>275</v>
      </c>
      <c r="U9" s="85">
        <v>39965</v>
      </c>
      <c r="V9" s="37"/>
      <c r="W9" s="86"/>
      <c r="X9" s="37"/>
      <c r="Y9" s="37"/>
      <c r="Z9" s="37"/>
      <c r="AA9" s="37"/>
      <c r="AB9" s="86"/>
      <c r="AC9" s="37" t="s">
        <v>199</v>
      </c>
      <c r="AD9" s="39">
        <v>161</v>
      </c>
      <c r="AE9" s="87" t="str">
        <f>(TRUNC(AD9/12))&amp;"년 "&amp;(ROUNDDOWN(MOD(AD9,12),0))&amp;"개월"</f>
        <v>13년 5개월</v>
      </c>
      <c r="AF9" s="39">
        <f ca="1">(재직자!$AL$1-K9)/30</f>
        <v>16.666666666666668</v>
      </c>
      <c r="AG9" s="91" t="str">
        <f ca="1">(TRUNC(AF9/12))&amp;"년 "&amp;(ROUNDDOWN(MOD(AF9,12),0))&amp;"개월"</f>
        <v>1년 4개월</v>
      </c>
      <c r="AH9" s="39">
        <f ca="1">+AD9+AF9</f>
        <v>177.66666666666666</v>
      </c>
      <c r="AI9" s="91" t="str">
        <f ca="1">(TRUNC(AH9/12))&amp;"년 "&amp;(ROUNDDOWN(MOD(AH9,12),0))&amp;"개월"</f>
        <v>14년 9개월</v>
      </c>
      <c r="AJ9" s="96" t="s">
        <v>4098</v>
      </c>
      <c r="AK9" s="86" t="s">
        <v>4099</v>
      </c>
      <c r="AL9" s="96" t="s">
        <v>4100</v>
      </c>
      <c r="AM9" s="37"/>
      <c r="AN9" s="37" t="s">
        <v>4101</v>
      </c>
      <c r="AO9" s="86"/>
      <c r="AP9" s="32"/>
      <c r="AQ9" s="32" t="s">
        <v>2190</v>
      </c>
      <c r="AR9" s="32"/>
      <c r="AS9" s="32"/>
      <c r="AT9" s="32"/>
      <c r="AU9" s="32"/>
      <c r="AV9" s="32"/>
      <c r="AW9" s="32"/>
      <c r="AX9" s="32"/>
      <c r="AY9" s="32"/>
      <c r="AZ9" s="32"/>
    </row>
    <row r="10" spans="1:52" ht="15" customHeight="1">
      <c r="A10" s="33" t="s">
        <v>2451</v>
      </c>
      <c r="B10" s="86">
        <v>241103</v>
      </c>
      <c r="C10" s="86" t="s">
        <v>193</v>
      </c>
      <c r="D10" s="104" t="s">
        <v>4102</v>
      </c>
      <c r="E10" s="104"/>
      <c r="F10" s="86" t="s">
        <v>228</v>
      </c>
      <c r="G10" s="86"/>
      <c r="H10" s="80" t="s">
        <v>4023</v>
      </c>
      <c r="I10" s="86" t="s">
        <v>4024</v>
      </c>
      <c r="J10" s="86" t="s">
        <v>4103</v>
      </c>
      <c r="K10" s="142">
        <v>45615</v>
      </c>
      <c r="L10" s="36"/>
      <c r="M10" s="86"/>
      <c r="N10" s="37" t="s">
        <v>153</v>
      </c>
      <c r="O10" s="37" t="s">
        <v>905</v>
      </c>
      <c r="P10" s="86" t="s">
        <v>617</v>
      </c>
      <c r="Q10" s="86" t="s">
        <v>711</v>
      </c>
      <c r="R10" s="37" t="s">
        <v>209</v>
      </c>
      <c r="S10" s="100">
        <v>37653</v>
      </c>
      <c r="T10" s="37"/>
      <c r="U10" s="86"/>
      <c r="V10" s="37"/>
      <c r="W10" s="86"/>
      <c r="X10" s="37"/>
      <c r="Y10" s="86"/>
      <c r="Z10" s="37"/>
      <c r="AA10" s="37"/>
      <c r="AB10" s="86"/>
      <c r="AC10" s="37" t="s">
        <v>199</v>
      </c>
      <c r="AD10" s="39">
        <v>221.7</v>
      </c>
      <c r="AE10" s="87" t="str">
        <f>(TRUNC(AD10/12))&amp;"년 "&amp;(ROUNDDOWN(MOD(AD10,12),0))&amp;"개월"</f>
        <v>18년 5개월</v>
      </c>
      <c r="AF10" s="39">
        <f ca="1">(재직자!$AL$1-K10)/30</f>
        <v>16.633333333333333</v>
      </c>
      <c r="AG10" s="91" t="str">
        <f ca="1">(TRUNC(AF10/12))&amp;"년 "&amp;(ROUNDDOWN(MOD(AF10,12),0))&amp;"개월"</f>
        <v>1년 4개월</v>
      </c>
      <c r="AH10" s="39">
        <f ca="1">+AD10+AF10</f>
        <v>238.33333333333331</v>
      </c>
      <c r="AI10" s="39" t="str">
        <f ca="1">(TRUNC(AH10/12))&amp;"년 "&amp;(ROUNDDOWN(MOD(AH10,12),0))&amp;"개월"</f>
        <v>19년 10개월</v>
      </c>
      <c r="AJ10" s="96" t="s">
        <v>4104</v>
      </c>
      <c r="AK10" s="86" t="s">
        <v>4105</v>
      </c>
      <c r="AL10" s="96"/>
      <c r="AM10" s="37"/>
      <c r="AN10" s="37"/>
      <c r="AO10" s="86"/>
      <c r="AP10" s="32"/>
      <c r="AQ10" s="32" t="s">
        <v>2190</v>
      </c>
      <c r="AR10" s="32"/>
      <c r="AS10" s="32"/>
      <c r="AT10" s="32"/>
      <c r="AU10" s="32"/>
      <c r="AV10" s="32"/>
      <c r="AW10" s="32"/>
      <c r="AX10" s="32"/>
      <c r="AY10" s="32"/>
      <c r="AZ10" s="32"/>
    </row>
    <row r="11" spans="1:52" ht="15" customHeight="1">
      <c r="A11" s="33" t="s">
        <v>4106</v>
      </c>
      <c r="B11" s="86"/>
      <c r="C11" s="86" t="s">
        <v>193</v>
      </c>
      <c r="D11" s="104" t="s">
        <v>4107</v>
      </c>
      <c r="E11" s="104"/>
      <c r="F11" s="86" t="s">
        <v>228</v>
      </c>
      <c r="G11" s="86"/>
      <c r="H11" s="80" t="s">
        <v>4023</v>
      </c>
      <c r="I11" s="86"/>
      <c r="J11" s="86"/>
      <c r="K11" s="86"/>
      <c r="L11" s="36"/>
      <c r="M11" s="86"/>
      <c r="N11" s="37"/>
      <c r="O11" s="37"/>
      <c r="P11" s="86"/>
      <c r="Q11" s="86"/>
      <c r="R11" s="37"/>
      <c r="S11" s="86"/>
      <c r="T11" s="37"/>
      <c r="U11" s="86"/>
      <c r="V11" s="37"/>
      <c r="W11" s="86"/>
      <c r="X11" s="37"/>
      <c r="Y11" s="86"/>
      <c r="Z11" s="37"/>
      <c r="AA11" s="37"/>
      <c r="AB11" s="86"/>
      <c r="AC11" s="37"/>
      <c r="AD11" s="39"/>
      <c r="AE11" s="86"/>
      <c r="AF11" s="39"/>
      <c r="AG11" s="86"/>
      <c r="AH11" s="39"/>
      <c r="AI11" s="86"/>
      <c r="AJ11" s="96"/>
      <c r="AK11" s="86"/>
      <c r="AL11" s="96"/>
      <c r="AM11" s="37"/>
      <c r="AN11" s="37"/>
      <c r="AO11" s="86"/>
      <c r="AP11" s="32"/>
      <c r="AQ11" s="32" t="s">
        <v>2190</v>
      </c>
      <c r="AR11" s="32"/>
      <c r="AS11" s="32"/>
      <c r="AT11" s="32"/>
      <c r="AU11" s="32"/>
      <c r="AV11" s="32"/>
      <c r="AW11" s="32"/>
      <c r="AX11" s="32"/>
      <c r="AY11" s="32"/>
      <c r="AZ11" s="32"/>
    </row>
    <row r="12" spans="1:52" ht="15" customHeight="1">
      <c r="A12" s="33" t="s">
        <v>425</v>
      </c>
      <c r="B12" s="86">
        <v>200903</v>
      </c>
      <c r="C12" s="81" t="s">
        <v>924</v>
      </c>
      <c r="D12" s="104" t="s">
        <v>3500</v>
      </c>
      <c r="E12" s="104">
        <v>1</v>
      </c>
      <c r="F12" s="86" t="s">
        <v>34</v>
      </c>
      <c r="G12" s="87"/>
      <c r="H12" s="83" t="s">
        <v>3440</v>
      </c>
      <c r="I12" s="82"/>
      <c r="J12" s="86" t="s">
        <v>3501</v>
      </c>
      <c r="K12" s="36">
        <v>44095</v>
      </c>
      <c r="L12" s="36"/>
      <c r="M12" s="85"/>
      <c r="N12" s="37" t="s">
        <v>153</v>
      </c>
      <c r="O12" s="37" t="s">
        <v>3054</v>
      </c>
      <c r="P12" s="86" t="s">
        <v>3502</v>
      </c>
      <c r="Q12" s="86" t="s">
        <v>711</v>
      </c>
      <c r="R12" s="37" t="s">
        <v>209</v>
      </c>
      <c r="S12" s="36">
        <v>40055</v>
      </c>
      <c r="T12" s="37"/>
      <c r="U12" s="85"/>
      <c r="V12" s="37"/>
      <c r="W12" s="36"/>
      <c r="X12" s="37"/>
      <c r="Y12" s="86"/>
      <c r="Z12" s="37"/>
      <c r="AA12" s="37"/>
      <c r="AB12" s="86"/>
      <c r="AC12" s="86"/>
      <c r="AD12" s="39">
        <v>175</v>
      </c>
      <c r="AE12" s="86" t="str">
        <f>(TRUNC(AD12/12))&amp;"년 "&amp;(ROUNDDOWN(MOD(AD12,12),0))&amp;"개월"</f>
        <v>14년 7개월</v>
      </c>
      <c r="AF12" s="39">
        <f ca="1">($AL$1-K12)/30</f>
        <v>67.3</v>
      </c>
      <c r="AG12" s="86" t="str">
        <f ca="1">(TRUNC(AF12/12))&amp;"년 "&amp;(ROUNDDOWN(MOD(AF12,12),0))&amp;"개월"</f>
        <v>5년 7개월</v>
      </c>
      <c r="AH12" s="39">
        <f ca="1">+AD12+AF12</f>
        <v>242.3</v>
      </c>
      <c r="AI12" s="39" t="str">
        <f ca="1">(TRUNC(AH12/12))&amp;"년 "&amp;(ROUNDDOWN(MOD(AH12,12),0))&amp;"개월"</f>
        <v>20년 2개월</v>
      </c>
      <c r="AJ12" s="96" t="s">
        <v>3503</v>
      </c>
      <c r="AK12" s="86" t="s">
        <v>3504</v>
      </c>
      <c r="AL12" s="50" t="s">
        <v>3505</v>
      </c>
      <c r="AM12" s="86"/>
      <c r="AN12" s="37" t="s">
        <v>3506</v>
      </c>
      <c r="AO12" s="54" t="s">
        <v>1943</v>
      </c>
      <c r="AP12" s="32"/>
      <c r="AQ12" s="32" t="s">
        <v>2190</v>
      </c>
      <c r="AR12" s="32"/>
      <c r="AS12" s="32"/>
      <c r="AT12" s="32"/>
      <c r="AU12" s="32"/>
      <c r="AV12" s="32"/>
      <c r="AW12" s="32"/>
      <c r="AX12" s="32"/>
      <c r="AY12" s="32"/>
      <c r="AZ12" s="32"/>
    </row>
    <row r="13" spans="1:52" ht="15" customHeight="1">
      <c r="A13" s="33" t="s">
        <v>520</v>
      </c>
      <c r="B13" s="86">
        <v>200202</v>
      </c>
      <c r="C13" s="33" t="s">
        <v>924</v>
      </c>
      <c r="D13" s="104" t="s">
        <v>3452</v>
      </c>
      <c r="E13" s="104">
        <v>1</v>
      </c>
      <c r="F13" s="86" t="s">
        <v>228</v>
      </c>
      <c r="G13" s="38"/>
      <c r="H13" s="80" t="s">
        <v>3440</v>
      </c>
      <c r="I13" s="145"/>
      <c r="J13" s="86" t="s">
        <v>3453</v>
      </c>
      <c r="K13" s="85">
        <v>43864</v>
      </c>
      <c r="L13" s="36">
        <v>44562</v>
      </c>
      <c r="M13" s="85"/>
      <c r="N13" s="86" t="s">
        <v>146</v>
      </c>
      <c r="O13" s="37" t="s">
        <v>3454</v>
      </c>
      <c r="P13" s="86" t="s">
        <v>3455</v>
      </c>
      <c r="Q13" s="86" t="s">
        <v>711</v>
      </c>
      <c r="R13" s="37" t="s">
        <v>265</v>
      </c>
      <c r="S13" s="36">
        <v>36950</v>
      </c>
      <c r="T13" s="37"/>
      <c r="U13" s="36"/>
      <c r="V13" s="37" t="s">
        <v>543</v>
      </c>
      <c r="W13" s="36"/>
      <c r="X13" s="37" t="s">
        <v>764</v>
      </c>
      <c r="Y13" s="37"/>
      <c r="Z13" s="37"/>
      <c r="AA13" s="37"/>
      <c r="AB13" s="86"/>
      <c r="AC13" s="37"/>
      <c r="AD13" s="39">
        <v>175</v>
      </c>
      <c r="AE13" s="86" t="str">
        <f>(TRUNC(AD13/12))&amp;"년 "&amp;(ROUNDDOWN(MOD(AD13,12),0))&amp;"개월"</f>
        <v>14년 7개월</v>
      </c>
      <c r="AF13" s="39">
        <f ca="1">($AL$1-K13)/30</f>
        <v>75</v>
      </c>
      <c r="AG13" s="86" t="str">
        <f ca="1">(TRUNC(AF13/12))&amp;"년 "&amp;(ROUNDDOWN(MOD(AF13,12),0))&amp;"개월"</f>
        <v>6년 3개월</v>
      </c>
      <c r="AH13" s="39">
        <f ca="1">+AD13+AF13</f>
        <v>250</v>
      </c>
      <c r="AI13" s="39" t="str">
        <f ca="1">(TRUNC(AH13/12))&amp;"년 "&amp;(ROUNDDOWN(MOD(AH13,12),0))&amp;"개월"</f>
        <v>20년 10개월</v>
      </c>
      <c r="AJ13" s="96" t="s">
        <v>3456</v>
      </c>
      <c r="AK13" s="86" t="s">
        <v>3457</v>
      </c>
      <c r="AL13" s="50" t="s">
        <v>3458</v>
      </c>
      <c r="AM13" s="37"/>
      <c r="AN13" s="37" t="s">
        <v>3459</v>
      </c>
      <c r="AO13" s="54" t="s">
        <v>3460</v>
      </c>
      <c r="AP13" s="32"/>
      <c r="AQ13" s="32" t="s">
        <v>2190</v>
      </c>
      <c r="AR13" s="32"/>
      <c r="AS13" s="32"/>
      <c r="AT13" s="32"/>
      <c r="AU13" s="32"/>
      <c r="AV13" s="32"/>
      <c r="AW13" s="32"/>
      <c r="AX13" s="32"/>
      <c r="AY13" s="32"/>
      <c r="AZ13" s="32"/>
    </row>
    <row r="14" spans="1:52" ht="15" customHeight="1">
      <c r="A14" s="33" t="s">
        <v>444</v>
      </c>
      <c r="B14" s="86">
        <v>210203</v>
      </c>
      <c r="C14" s="33" t="s">
        <v>924</v>
      </c>
      <c r="D14" s="104" t="s">
        <v>3543</v>
      </c>
      <c r="E14" s="104">
        <v>1</v>
      </c>
      <c r="F14" s="86" t="s">
        <v>44</v>
      </c>
      <c r="G14" s="38"/>
      <c r="H14" s="80" t="s">
        <v>3440</v>
      </c>
      <c r="I14" s="82"/>
      <c r="J14" s="86" t="s">
        <v>3544</v>
      </c>
      <c r="K14" s="36">
        <v>44228</v>
      </c>
      <c r="L14" s="36"/>
      <c r="M14" s="36"/>
      <c r="N14" s="86" t="s">
        <v>153</v>
      </c>
      <c r="O14" s="86" t="s">
        <v>3545</v>
      </c>
      <c r="P14" s="86" t="s">
        <v>3075</v>
      </c>
      <c r="Q14" s="86" t="s">
        <v>1433</v>
      </c>
      <c r="R14" s="86" t="s">
        <v>209</v>
      </c>
      <c r="S14" s="85">
        <v>42782</v>
      </c>
      <c r="T14" s="37"/>
      <c r="U14" s="36"/>
      <c r="V14" s="37" t="s">
        <v>2752</v>
      </c>
      <c r="W14" s="36">
        <v>43081</v>
      </c>
      <c r="X14" s="37"/>
      <c r="Y14" s="85"/>
      <c r="Z14" s="86"/>
      <c r="AA14" s="37"/>
      <c r="AB14" s="86"/>
      <c r="AC14" s="86"/>
      <c r="AD14" s="39">
        <v>29</v>
      </c>
      <c r="AE14" s="86" t="str">
        <f>(TRUNC(AD14/12))&amp;"년 "&amp;(ROUNDDOWN(MOD(AD14,12),0))&amp;"개월"</f>
        <v>2년 5개월</v>
      </c>
      <c r="AF14" s="39">
        <f ca="1">($AL$1-K14)/30</f>
        <v>62.866666666666667</v>
      </c>
      <c r="AG14" s="86" t="str">
        <f ca="1">(TRUNC(AF14/12))&amp;"년 "&amp;(ROUNDDOWN(MOD(AF14,12),0))&amp;"개월"</f>
        <v>5년 2개월</v>
      </c>
      <c r="AH14" s="39">
        <f ca="1">+AD14+AF14</f>
        <v>91.866666666666674</v>
      </c>
      <c r="AI14" s="39" t="str">
        <f ca="1">(TRUNC(AH14/12))&amp;"년 "&amp;(ROUNDDOWN(MOD(AH14,12),0))&amp;"개월"</f>
        <v>7년 7개월</v>
      </c>
      <c r="AJ14" s="96" t="s">
        <v>3546</v>
      </c>
      <c r="AK14" s="86" t="s">
        <v>3547</v>
      </c>
      <c r="AL14" s="50" t="s">
        <v>3548</v>
      </c>
      <c r="AM14" s="37"/>
      <c r="AN14" s="37" t="s">
        <v>3549</v>
      </c>
      <c r="AO14" s="54" t="s">
        <v>3550</v>
      </c>
      <c r="AP14" s="32"/>
      <c r="AQ14" s="32" t="s">
        <v>2190</v>
      </c>
      <c r="AR14" s="32"/>
      <c r="AS14" s="32"/>
      <c r="AT14" s="32"/>
      <c r="AU14" s="32"/>
      <c r="AV14" s="32"/>
      <c r="AW14" s="32"/>
      <c r="AX14" s="32"/>
      <c r="AY14" s="32"/>
      <c r="AZ14" s="32"/>
    </row>
    <row r="15" spans="1:52" ht="15" customHeight="1">
      <c r="A15" s="33" t="s">
        <v>1242</v>
      </c>
      <c r="B15" s="86">
        <v>210507</v>
      </c>
      <c r="C15" s="33" t="s">
        <v>924</v>
      </c>
      <c r="D15" s="104" t="s">
        <v>3585</v>
      </c>
      <c r="E15" s="104">
        <v>1</v>
      </c>
      <c r="F15" s="86" t="s">
        <v>34</v>
      </c>
      <c r="G15" s="38"/>
      <c r="H15" s="80" t="s">
        <v>3440</v>
      </c>
      <c r="I15" s="82"/>
      <c r="J15" s="86" t="s">
        <v>3586</v>
      </c>
      <c r="K15" s="36">
        <v>44340</v>
      </c>
      <c r="L15" s="36"/>
      <c r="M15" s="36"/>
      <c r="N15" s="37" t="s">
        <v>153</v>
      </c>
      <c r="O15" s="37" t="s">
        <v>3587</v>
      </c>
      <c r="P15" s="86" t="s">
        <v>457</v>
      </c>
      <c r="Q15" s="86" t="s">
        <v>1433</v>
      </c>
      <c r="R15" s="37" t="s">
        <v>209</v>
      </c>
      <c r="S15" s="36">
        <v>39858</v>
      </c>
      <c r="T15" s="37" t="s">
        <v>569</v>
      </c>
      <c r="U15" s="85">
        <v>36523</v>
      </c>
      <c r="V15" s="37"/>
      <c r="W15" s="85"/>
      <c r="X15" s="86"/>
      <c r="Y15" s="85"/>
      <c r="Z15" s="37"/>
      <c r="AA15" s="37"/>
      <c r="AB15" s="86"/>
      <c r="AC15" s="37"/>
      <c r="AD15" s="39">
        <v>143</v>
      </c>
      <c r="AE15" s="86" t="str">
        <f>(TRUNC(AD15/12))&amp;"년 "&amp;(ROUNDDOWN(MOD(AD15,12),0))&amp;"개월"</f>
        <v>11년 11개월</v>
      </c>
      <c r="AF15" s="39">
        <f ca="1">($AL$1-K15)/30</f>
        <v>59.133333333333333</v>
      </c>
      <c r="AG15" s="86" t="str">
        <f ca="1">(TRUNC(AF15/12))&amp;"년 "&amp;(ROUNDDOWN(MOD(AF15,12),0))&amp;"개월"</f>
        <v>4년 11개월</v>
      </c>
      <c r="AH15" s="39">
        <f ca="1">+AD15+AF15</f>
        <v>202.13333333333333</v>
      </c>
      <c r="AI15" s="39" t="str">
        <f ca="1">(TRUNC(AH15/12))&amp;"년 "&amp;(ROUNDDOWN(MOD(AH15,12),0))&amp;"개월"</f>
        <v>16년 10개월</v>
      </c>
      <c r="AJ15" s="96" t="s">
        <v>3588</v>
      </c>
      <c r="AK15" s="86" t="s">
        <v>3589</v>
      </c>
      <c r="AL15" s="50" t="s">
        <v>3590</v>
      </c>
      <c r="AM15" s="37"/>
      <c r="AN15" s="37" t="s">
        <v>3591</v>
      </c>
      <c r="AO15" s="54" t="s">
        <v>3592</v>
      </c>
      <c r="AP15" s="32"/>
      <c r="AQ15" s="32" t="s">
        <v>2190</v>
      </c>
      <c r="AR15" s="32"/>
      <c r="AS15" s="32"/>
      <c r="AT15" s="32"/>
      <c r="AU15" s="32"/>
      <c r="AV15" s="32"/>
      <c r="AW15" s="32"/>
      <c r="AX15" s="32"/>
      <c r="AY15" s="32"/>
      <c r="AZ15" s="32"/>
    </row>
    <row r="16" spans="1:52" ht="15" customHeight="1">
      <c r="A16" s="33" t="s">
        <v>2607</v>
      </c>
      <c r="B16" s="86">
        <v>230107</v>
      </c>
      <c r="C16" s="86" t="s">
        <v>2513</v>
      </c>
      <c r="D16" s="104" t="s">
        <v>2182</v>
      </c>
      <c r="E16" s="104">
        <v>1</v>
      </c>
      <c r="F16" s="86" t="s">
        <v>34</v>
      </c>
      <c r="G16" s="86"/>
      <c r="H16" s="80" t="s">
        <v>3440</v>
      </c>
      <c r="I16" s="86" t="s">
        <v>3883</v>
      </c>
      <c r="J16" s="86" t="s">
        <v>2184</v>
      </c>
      <c r="K16" s="36">
        <v>44942</v>
      </c>
      <c r="L16" s="36"/>
      <c r="M16" s="86"/>
      <c r="N16" s="37" t="s">
        <v>153</v>
      </c>
      <c r="O16" s="37" t="s">
        <v>1736</v>
      </c>
      <c r="P16" s="86" t="s">
        <v>3884</v>
      </c>
      <c r="Q16" s="86" t="s">
        <v>711</v>
      </c>
      <c r="R16" s="37" t="s">
        <v>209</v>
      </c>
      <c r="S16" s="100">
        <v>43133</v>
      </c>
      <c r="T16" s="37" t="s">
        <v>2752</v>
      </c>
      <c r="U16" s="85">
        <v>42899</v>
      </c>
      <c r="V16" s="37" t="s">
        <v>3885</v>
      </c>
      <c r="W16" s="85">
        <v>44926</v>
      </c>
      <c r="X16" s="37" t="s">
        <v>3886</v>
      </c>
      <c r="Y16" s="85">
        <v>45164</v>
      </c>
      <c r="Z16" s="37"/>
      <c r="AA16" s="37"/>
      <c r="AB16" s="86"/>
      <c r="AC16" s="37"/>
      <c r="AD16" s="39">
        <v>161</v>
      </c>
      <c r="AE16" s="87" t="str">
        <f>(TRUNC(AD16/12))&amp;"년 "&amp;(ROUNDDOWN(MOD(AD16,12),0))&amp;"개월"</f>
        <v>13년 5개월</v>
      </c>
      <c r="AF16" s="39">
        <f ca="1">($AL$1-K16)/30</f>
        <v>39.06666666666667</v>
      </c>
      <c r="AG16" s="91" t="str">
        <f ca="1">(TRUNC(AF16/12))&amp;"년 "&amp;(ROUNDDOWN(MOD(AF16,12),0))&amp;"개월"</f>
        <v>3년 3개월</v>
      </c>
      <c r="AH16" s="39">
        <f ca="1">+AD16+AF16</f>
        <v>200.06666666666666</v>
      </c>
      <c r="AI16" s="91" t="str">
        <f ca="1">(TRUNC(AH16/12))&amp;"년 "&amp;(ROUNDDOWN(MOD(AH16,12),0))&amp;"개월"</f>
        <v>16년 8개월</v>
      </c>
      <c r="AJ16" s="96" t="s">
        <v>2186</v>
      </c>
      <c r="AK16" s="86" t="s">
        <v>2187</v>
      </c>
      <c r="AL16" s="96" t="s">
        <v>1599</v>
      </c>
      <c r="AM16" s="37"/>
      <c r="AN16" s="37" t="s">
        <v>2188</v>
      </c>
      <c r="AO16" s="86"/>
      <c r="AP16" s="32"/>
      <c r="AQ16" s="32" t="s">
        <v>2190</v>
      </c>
      <c r="AR16" s="32"/>
      <c r="AS16" s="32"/>
      <c r="AT16" s="32"/>
      <c r="AU16" s="32"/>
      <c r="AV16" s="32"/>
      <c r="AW16" s="32"/>
      <c r="AX16" s="32"/>
      <c r="AY16" s="32"/>
      <c r="AZ16" s="32"/>
    </row>
    <row r="17" spans="1:52" ht="15" customHeight="1">
      <c r="A17" s="33" t="s">
        <v>216</v>
      </c>
      <c r="B17" s="81" t="s">
        <v>3438</v>
      </c>
      <c r="C17" s="81" t="s">
        <v>2667</v>
      </c>
      <c r="D17" s="108" t="s">
        <v>3439</v>
      </c>
      <c r="E17" s="108">
        <v>2</v>
      </c>
      <c r="F17" s="82" t="s">
        <v>139</v>
      </c>
      <c r="G17" s="82"/>
      <c r="H17" s="80" t="s">
        <v>3440</v>
      </c>
      <c r="I17" s="34"/>
      <c r="J17" s="84" t="s">
        <v>3441</v>
      </c>
      <c r="K17" s="36">
        <v>43843</v>
      </c>
      <c r="L17" s="36"/>
      <c r="M17" s="36"/>
      <c r="N17" s="37" t="s">
        <v>196</v>
      </c>
      <c r="O17" s="37" t="s">
        <v>3442</v>
      </c>
      <c r="P17" s="87" t="s">
        <v>3443</v>
      </c>
      <c r="Q17" s="87" t="s">
        <v>711</v>
      </c>
      <c r="R17" s="37" t="s">
        <v>198</v>
      </c>
      <c r="S17" s="36">
        <v>42237</v>
      </c>
      <c r="T17" s="37" t="s">
        <v>3444</v>
      </c>
      <c r="U17" s="36">
        <v>44742</v>
      </c>
      <c r="V17" s="37"/>
      <c r="W17" s="36"/>
      <c r="X17" s="37"/>
      <c r="Y17" s="85"/>
      <c r="Z17" s="37"/>
      <c r="AA17" s="37"/>
      <c r="AB17" s="85"/>
      <c r="AC17" s="37"/>
      <c r="AD17" s="39">
        <v>203</v>
      </c>
      <c r="AE17" s="87" t="str">
        <f>(TRUNC(AD17/12))&amp;"년 "&amp;(ROUNDDOWN(MOD(AD17,12),0))&amp;"개월"</f>
        <v>16년 11개월</v>
      </c>
      <c r="AF17" s="39">
        <f ca="1">(재직자!$AL$1-K17)/30</f>
        <v>75.7</v>
      </c>
      <c r="AG17" s="91" t="str">
        <f ca="1">(TRUNC(AF17/12))&amp;"년 "&amp;(ROUNDDOWN(MOD(AF17,12),0))&amp;"개월"</f>
        <v>6년 3개월</v>
      </c>
      <c r="AH17" s="39">
        <f ca="1">+AD17+AF17</f>
        <v>278.7</v>
      </c>
      <c r="AI17" s="91" t="str">
        <f ca="1">(TRUNC(AH17/12))&amp;"년 "&amp;(ROUNDDOWN(MOD(AH17,12),0))&amp;"개월"</f>
        <v>23년 2개월</v>
      </c>
      <c r="AJ17" s="88" t="s">
        <v>3445</v>
      </c>
      <c r="AK17" s="81" t="s">
        <v>3446</v>
      </c>
      <c r="AL17" s="62" t="s">
        <v>3447</v>
      </c>
      <c r="AM17" s="90"/>
      <c r="AN17" s="37" t="s">
        <v>3448</v>
      </c>
      <c r="AO17" s="54" t="s">
        <v>2443</v>
      </c>
      <c r="AP17" s="32"/>
      <c r="AQ17" s="32" t="s">
        <v>2190</v>
      </c>
      <c r="AR17" s="32"/>
      <c r="AS17" s="32"/>
      <c r="AT17" s="32"/>
      <c r="AU17" s="32"/>
      <c r="AV17" s="32"/>
      <c r="AW17" s="32"/>
      <c r="AX17" s="32"/>
      <c r="AY17" s="32"/>
      <c r="AZ17" s="32"/>
    </row>
    <row r="18" spans="1:52" ht="15" customHeight="1">
      <c r="A18" s="33" t="s">
        <v>434</v>
      </c>
      <c r="B18" s="86">
        <v>201202</v>
      </c>
      <c r="C18" s="81" t="s">
        <v>924</v>
      </c>
      <c r="D18" s="104" t="s">
        <v>3514</v>
      </c>
      <c r="E18" s="104">
        <v>2</v>
      </c>
      <c r="F18" s="86" t="s">
        <v>51</v>
      </c>
      <c r="G18" s="87"/>
      <c r="H18" s="80" t="s">
        <v>3440</v>
      </c>
      <c r="I18" s="82"/>
      <c r="J18" s="86" t="s">
        <v>3515</v>
      </c>
      <c r="K18" s="36">
        <v>44186</v>
      </c>
      <c r="L18" s="36"/>
      <c r="M18" s="85"/>
      <c r="N18" s="37" t="s">
        <v>153</v>
      </c>
      <c r="O18" s="37" t="s">
        <v>355</v>
      </c>
      <c r="P18" s="86" t="s">
        <v>2662</v>
      </c>
      <c r="Q18" s="86" t="s">
        <v>711</v>
      </c>
      <c r="R18" s="37" t="s">
        <v>209</v>
      </c>
      <c r="S18" s="36" t="s">
        <v>3516</v>
      </c>
      <c r="T18" s="37" t="s">
        <v>2717</v>
      </c>
      <c r="U18" s="85">
        <v>44321</v>
      </c>
      <c r="V18" s="37" t="s">
        <v>3517</v>
      </c>
      <c r="W18" s="85">
        <v>44263</v>
      </c>
      <c r="X18" s="37" t="s">
        <v>3518</v>
      </c>
      <c r="Y18" s="85">
        <v>44127</v>
      </c>
      <c r="Z18" s="86"/>
      <c r="AA18" s="37"/>
      <c r="AB18" s="86"/>
      <c r="AC18" s="37"/>
      <c r="AD18" s="39">
        <v>0</v>
      </c>
      <c r="AE18" s="86" t="str">
        <f>(TRUNC(AD18/12))&amp;"년 "&amp;(ROUNDDOWN(MOD(AD18,12),0))&amp;"개월"</f>
        <v>0년 0개월</v>
      </c>
      <c r="AF18" s="39">
        <f ca="1">($AL$1-K18)/30</f>
        <v>64.266666666666666</v>
      </c>
      <c r="AG18" s="86" t="str">
        <f ca="1">(TRUNC(AF18/12))&amp;"년 "&amp;(ROUNDDOWN(MOD(AF18,12),0))&amp;"개월"</f>
        <v>5년 4개월</v>
      </c>
      <c r="AH18" s="39">
        <f ca="1">+AD18+AF18</f>
        <v>64.266666666666666</v>
      </c>
      <c r="AI18" s="91" t="str">
        <f ca="1">(TRUNC(AH18/12))&amp;"년 "&amp;(ROUNDDOWN(MOD(AH18,12),0))&amp;"개월"</f>
        <v>5년 4개월</v>
      </c>
      <c r="AJ18" s="96" t="s">
        <v>3519</v>
      </c>
      <c r="AK18" s="86" t="s">
        <v>3520</v>
      </c>
      <c r="AL18" s="50" t="s">
        <v>3521</v>
      </c>
      <c r="AM18" s="37"/>
      <c r="AN18" s="37" t="s">
        <v>3522</v>
      </c>
      <c r="AO18" s="54" t="s">
        <v>3523</v>
      </c>
      <c r="AP18" s="32"/>
      <c r="AQ18" s="32" t="s">
        <v>2190</v>
      </c>
      <c r="AR18" s="32"/>
      <c r="AS18" s="32"/>
      <c r="AT18" s="32"/>
      <c r="AU18" s="32"/>
      <c r="AV18" s="32"/>
      <c r="AW18" s="32"/>
      <c r="AX18" s="32"/>
      <c r="AY18" s="32"/>
      <c r="AZ18" s="32"/>
    </row>
    <row r="19" spans="1:52" ht="15" customHeight="1">
      <c r="A19" s="33" t="s">
        <v>1149</v>
      </c>
      <c r="B19" s="86">
        <v>221001</v>
      </c>
      <c r="C19" s="86" t="s">
        <v>2513</v>
      </c>
      <c r="D19" s="104" t="s">
        <v>3810</v>
      </c>
      <c r="E19" s="104">
        <v>2</v>
      </c>
      <c r="F19" s="86" t="s">
        <v>34</v>
      </c>
      <c r="G19" s="86"/>
      <c r="H19" s="80" t="s">
        <v>3440</v>
      </c>
      <c r="I19" s="86"/>
      <c r="J19" s="86" t="s">
        <v>3811</v>
      </c>
      <c r="K19" s="36">
        <v>44838</v>
      </c>
      <c r="L19" s="36"/>
      <c r="M19" s="86"/>
      <c r="N19" s="37" t="s">
        <v>146</v>
      </c>
      <c r="O19" s="37" t="s">
        <v>3018</v>
      </c>
      <c r="P19" s="86" t="s">
        <v>2662</v>
      </c>
      <c r="Q19" s="86" t="s">
        <v>964</v>
      </c>
      <c r="R19" s="37" t="s">
        <v>265</v>
      </c>
      <c r="S19" s="85">
        <v>39492</v>
      </c>
      <c r="T19" s="37"/>
      <c r="U19" s="86"/>
      <c r="V19" s="37"/>
      <c r="W19" s="86"/>
      <c r="X19" s="37"/>
      <c r="Y19" s="86"/>
      <c r="Z19" s="37"/>
      <c r="AA19" s="86"/>
      <c r="AB19" s="86"/>
      <c r="AC19" s="37"/>
      <c r="AD19" s="39">
        <v>157</v>
      </c>
      <c r="AE19" s="38" t="str">
        <f>(TRUNC(AD19/12))&amp;"년 "&amp;(ROUNDDOWN(MOD(AD19,12),0))&amp;"개월"</f>
        <v>13년 1개월</v>
      </c>
      <c r="AF19" s="39">
        <f ca="1">($AL$1-K19)/30</f>
        <v>42.533333333333331</v>
      </c>
      <c r="AG19" s="39" t="str">
        <f ca="1">(TRUNC(AF19/12))&amp;"년 "&amp;(ROUNDDOWN(MOD(AF19,12),0))&amp;"개월"</f>
        <v>3년 6개월</v>
      </c>
      <c r="AH19" s="39">
        <f ca="1">+AD19+AF19</f>
        <v>199.53333333333333</v>
      </c>
      <c r="AI19" s="39" t="str">
        <f ca="1">(TRUNC(AH19/12))&amp;"년 "&amp;(ROUNDDOWN(MOD(AH19,12),0))&amp;"개월"</f>
        <v>16년 7개월</v>
      </c>
      <c r="AJ19" s="96" t="s">
        <v>3812</v>
      </c>
      <c r="AK19" s="86" t="s">
        <v>3813</v>
      </c>
      <c r="AL19" s="96" t="s">
        <v>3814</v>
      </c>
      <c r="AM19" s="37"/>
      <c r="AN19" s="37" t="s">
        <v>3815</v>
      </c>
      <c r="AO19" s="86"/>
      <c r="AP19" s="32"/>
      <c r="AQ19" s="32" t="s">
        <v>2190</v>
      </c>
      <c r="AR19" s="32"/>
      <c r="AS19" s="32"/>
      <c r="AT19" s="32"/>
      <c r="AU19" s="32"/>
      <c r="AV19" s="32"/>
      <c r="AW19" s="32"/>
      <c r="AX19" s="32"/>
      <c r="AY19" s="32"/>
      <c r="AZ19" s="32"/>
    </row>
    <row r="20" spans="1:52" ht="15" customHeight="1">
      <c r="A20" s="33" t="s">
        <v>2479</v>
      </c>
      <c r="B20" s="37">
        <v>230601</v>
      </c>
      <c r="C20" s="86" t="s">
        <v>3920</v>
      </c>
      <c r="D20" s="104" t="s">
        <v>3921</v>
      </c>
      <c r="E20" s="104">
        <v>2</v>
      </c>
      <c r="F20" s="37" t="s">
        <v>34</v>
      </c>
      <c r="G20" s="86"/>
      <c r="H20" s="80" t="s">
        <v>3440</v>
      </c>
      <c r="I20" s="86" t="s">
        <v>3922</v>
      </c>
      <c r="J20" s="37" t="s">
        <v>3923</v>
      </c>
      <c r="K20" s="36">
        <v>45096</v>
      </c>
      <c r="L20" s="36"/>
      <c r="M20" s="86"/>
      <c r="N20" s="37" t="s">
        <v>146</v>
      </c>
      <c r="O20" s="37" t="s">
        <v>1528</v>
      </c>
      <c r="P20" s="37" t="s">
        <v>3924</v>
      </c>
      <c r="Q20" s="37" t="s">
        <v>3925</v>
      </c>
      <c r="R20" s="37" t="s">
        <v>2680</v>
      </c>
      <c r="S20" s="100">
        <v>38768</v>
      </c>
      <c r="T20" s="37" t="s">
        <v>3926</v>
      </c>
      <c r="U20" s="85">
        <v>42927</v>
      </c>
      <c r="V20" s="37"/>
      <c r="W20" s="86"/>
      <c r="X20" s="37"/>
      <c r="Y20" s="86"/>
      <c r="Z20" s="37"/>
      <c r="AA20" s="37"/>
      <c r="AB20" s="37"/>
      <c r="AC20" s="37" t="s">
        <v>230</v>
      </c>
      <c r="AD20" s="39">
        <v>167</v>
      </c>
      <c r="AE20" s="87" t="str">
        <f>(TRUNC(AD20/12))&amp;"년 "&amp;(ROUNDDOWN(MOD(AD20,12),0))&amp;"개월"</f>
        <v>13년 11개월</v>
      </c>
      <c r="AF20" s="39">
        <f ca="1">($AL$1-K20)/30</f>
        <v>33.93333333333333</v>
      </c>
      <c r="AG20" s="91" t="str">
        <f ca="1">(TRUNC(AF20/12))&amp;"년 "&amp;(ROUNDDOWN(MOD(AF20,12),0))&amp;"개월"</f>
        <v>2년 9개월</v>
      </c>
      <c r="AH20" s="39">
        <f ca="1">+AD20+AF20</f>
        <v>200.93333333333334</v>
      </c>
      <c r="AI20" s="91" t="str">
        <f ca="1">(TRUNC(AH20/12))&amp;"년 "&amp;(ROUNDDOWN(MOD(AH20,12),0))&amp;"개월"</f>
        <v>16년 8개월</v>
      </c>
      <c r="AJ20" s="44" t="s">
        <v>3927</v>
      </c>
      <c r="AK20" s="37" t="s">
        <v>3928</v>
      </c>
      <c r="AL20" s="96" t="s">
        <v>3929</v>
      </c>
      <c r="AM20" s="37"/>
      <c r="AN20" s="37" t="s">
        <v>3930</v>
      </c>
      <c r="AO20" s="86"/>
      <c r="AP20" s="32"/>
      <c r="AQ20" s="32" t="s">
        <v>2190</v>
      </c>
      <c r="AR20" s="32"/>
      <c r="AS20" s="32"/>
      <c r="AT20" s="32"/>
      <c r="AU20" s="32"/>
      <c r="AV20" s="32"/>
      <c r="AW20" s="32"/>
      <c r="AX20" s="32"/>
      <c r="AY20" s="32"/>
      <c r="AZ20" s="32"/>
    </row>
    <row r="21" spans="1:52" ht="15" customHeight="1">
      <c r="A21" s="33" t="s">
        <v>2293</v>
      </c>
      <c r="B21" s="37">
        <v>230803</v>
      </c>
      <c r="C21" s="86" t="s">
        <v>2513</v>
      </c>
      <c r="D21" s="104" t="s">
        <v>3976</v>
      </c>
      <c r="E21" s="104">
        <v>2</v>
      </c>
      <c r="F21" s="37" t="s">
        <v>44</v>
      </c>
      <c r="G21" s="86"/>
      <c r="H21" s="83" t="s">
        <v>3440</v>
      </c>
      <c r="I21" s="86" t="s">
        <v>3922</v>
      </c>
      <c r="J21" s="37" t="s">
        <v>3977</v>
      </c>
      <c r="K21" s="36">
        <v>45159</v>
      </c>
      <c r="L21" s="36"/>
      <c r="M21" s="86"/>
      <c r="N21" s="37" t="s">
        <v>448</v>
      </c>
      <c r="O21" s="37" t="s">
        <v>3978</v>
      </c>
      <c r="P21" s="37"/>
      <c r="Q21" s="37" t="s">
        <v>964</v>
      </c>
      <c r="R21" s="37" t="s">
        <v>448</v>
      </c>
      <c r="S21" s="100">
        <v>42401</v>
      </c>
      <c r="T21" s="37" t="s">
        <v>2092</v>
      </c>
      <c r="U21" s="85">
        <v>44288</v>
      </c>
      <c r="V21" s="37" t="s">
        <v>2752</v>
      </c>
      <c r="W21" s="85">
        <v>43893</v>
      </c>
      <c r="X21" s="37"/>
      <c r="Y21" s="86"/>
      <c r="Z21" s="37"/>
      <c r="AA21" s="37"/>
      <c r="AB21" s="37"/>
      <c r="AC21" s="37"/>
      <c r="AD21" s="39">
        <v>37.9</v>
      </c>
      <c r="AE21" s="87" t="str">
        <f>(TRUNC(AD21/12))&amp;"년 "&amp;(ROUNDDOWN(MOD(AD21,12),0))&amp;"개월"</f>
        <v>3년 1개월</v>
      </c>
      <c r="AF21" s="39">
        <f ca="1">($AL$1-K21)/30</f>
        <v>31.833333333333332</v>
      </c>
      <c r="AG21" s="91" t="str">
        <f ca="1">(TRUNC(AF21/12))&amp;"년 "&amp;(ROUNDDOWN(MOD(AF21,12),0))&amp;"개월"</f>
        <v>2년 7개월</v>
      </c>
      <c r="AH21" s="39">
        <f ca="1">+AD21+AF21</f>
        <v>69.733333333333334</v>
      </c>
      <c r="AI21" s="91" t="str">
        <f ca="1">(TRUNC(AH21/12))&amp;"년 "&amp;(ROUNDDOWN(MOD(AH21,12),0))&amp;"개월"</f>
        <v>5년 9개월</v>
      </c>
      <c r="AJ21" s="44" t="s">
        <v>3979</v>
      </c>
      <c r="AK21" s="37" t="s">
        <v>3980</v>
      </c>
      <c r="AL21" s="96" t="s">
        <v>3981</v>
      </c>
      <c r="AM21" s="37"/>
      <c r="AN21" s="37" t="s">
        <v>3982</v>
      </c>
      <c r="AO21" s="86"/>
      <c r="AP21" s="32"/>
      <c r="AQ21" s="32" t="s">
        <v>2190</v>
      </c>
      <c r="AR21" s="32"/>
      <c r="AS21" s="32"/>
      <c r="AT21" s="32"/>
      <c r="AU21" s="32"/>
      <c r="AV21" s="32"/>
      <c r="AW21" s="32"/>
      <c r="AX21" s="32"/>
      <c r="AY21" s="32"/>
      <c r="AZ21" s="32"/>
    </row>
    <row r="22" spans="1:52" ht="15" customHeight="1">
      <c r="A22" s="33" t="s">
        <v>2155</v>
      </c>
      <c r="B22" s="37">
        <v>230704</v>
      </c>
      <c r="C22" s="86" t="s">
        <v>2513</v>
      </c>
      <c r="D22" s="104" t="s">
        <v>3956</v>
      </c>
      <c r="E22" s="104"/>
      <c r="F22" s="37" t="s">
        <v>51</v>
      </c>
      <c r="G22" s="86"/>
      <c r="H22" s="80" t="s">
        <v>3440</v>
      </c>
      <c r="I22" s="86" t="s">
        <v>3957</v>
      </c>
      <c r="J22" s="37" t="s">
        <v>3958</v>
      </c>
      <c r="K22" s="36">
        <v>45131</v>
      </c>
      <c r="L22" s="36"/>
      <c r="M22" s="86"/>
      <c r="N22" s="37" t="s">
        <v>153</v>
      </c>
      <c r="O22" s="37" t="s">
        <v>3959</v>
      </c>
      <c r="P22" s="37" t="s">
        <v>3960</v>
      </c>
      <c r="Q22" s="37" t="s">
        <v>721</v>
      </c>
      <c r="R22" s="37" t="s">
        <v>209</v>
      </c>
      <c r="S22" s="100">
        <v>42767</v>
      </c>
      <c r="T22" s="37" t="s">
        <v>3961</v>
      </c>
      <c r="U22" s="148">
        <v>45118</v>
      </c>
      <c r="V22" s="37" t="s">
        <v>3962</v>
      </c>
      <c r="W22" s="85">
        <v>44039</v>
      </c>
      <c r="X22" s="37" t="s">
        <v>3963</v>
      </c>
      <c r="Y22" s="85">
        <v>43956</v>
      </c>
      <c r="Z22" s="37"/>
      <c r="AA22" s="37"/>
      <c r="AB22" s="37"/>
      <c r="AC22" s="37"/>
      <c r="AD22" s="39">
        <v>23</v>
      </c>
      <c r="AE22" s="87" t="str">
        <f>(TRUNC(AD22/12))&amp;"년 "&amp;(ROUNDDOWN(MOD(AD22,12),0))&amp;"개월"</f>
        <v>1년 11개월</v>
      </c>
      <c r="AF22" s="39">
        <f ca="1">($AL$1-K22)/30</f>
        <v>32.766666666666666</v>
      </c>
      <c r="AG22" s="91" t="str">
        <f ca="1">(TRUNC(AF22/12))&amp;"년 "&amp;(ROUNDDOWN(MOD(AF22,12),0))&amp;"개월"</f>
        <v>2년 8개월</v>
      </c>
      <c r="AH22" s="39">
        <f ca="1">+AD22+AF22</f>
        <v>55.766666666666666</v>
      </c>
      <c r="AI22" s="91" t="str">
        <f ca="1">(TRUNC(AH22/12))&amp;"년 "&amp;(ROUNDDOWN(MOD(AH22,12),0))&amp;"개월"</f>
        <v>4년 7개월</v>
      </c>
      <c r="AJ22" s="96" t="s">
        <v>3964</v>
      </c>
      <c r="AK22" s="37" t="s">
        <v>3965</v>
      </c>
      <c r="AL22" s="96" t="s">
        <v>3966</v>
      </c>
      <c r="AM22" s="37"/>
      <c r="AN22" s="37" t="s">
        <v>3967</v>
      </c>
      <c r="AO22" s="86"/>
      <c r="AP22" s="32"/>
      <c r="AQ22" s="32" t="s">
        <v>2190</v>
      </c>
      <c r="AR22" s="32"/>
      <c r="AS22" s="32"/>
      <c r="AT22" s="32"/>
      <c r="AU22" s="32"/>
      <c r="AV22" s="32"/>
      <c r="AW22" s="32"/>
      <c r="AX22" s="32"/>
      <c r="AY22" s="32"/>
      <c r="AZ22" s="32"/>
    </row>
    <row r="23" spans="1:52" ht="16.5" customHeight="1">
      <c r="A23" s="33" t="s">
        <v>2192</v>
      </c>
      <c r="B23" s="86">
        <v>230701</v>
      </c>
      <c r="C23" s="86" t="s">
        <v>2667</v>
      </c>
      <c r="D23" s="104" t="s">
        <v>3931</v>
      </c>
      <c r="E23" s="104">
        <v>1</v>
      </c>
      <c r="F23" s="86" t="s">
        <v>472</v>
      </c>
      <c r="G23" s="86"/>
      <c r="H23" s="80" t="s">
        <v>4135</v>
      </c>
      <c r="I23" s="86"/>
      <c r="J23" s="86" t="s">
        <v>3932</v>
      </c>
      <c r="K23" s="36">
        <v>45110</v>
      </c>
      <c r="L23" s="36"/>
      <c r="M23" s="86"/>
      <c r="N23" s="37" t="s">
        <v>196</v>
      </c>
      <c r="O23" s="37" t="s">
        <v>3933</v>
      </c>
      <c r="P23" s="86" t="s">
        <v>3934</v>
      </c>
      <c r="Q23" s="86"/>
      <c r="R23" s="37" t="s">
        <v>198</v>
      </c>
      <c r="S23" s="36">
        <v>37491</v>
      </c>
      <c r="T23" s="37" t="s">
        <v>275</v>
      </c>
      <c r="U23" s="85">
        <v>34072</v>
      </c>
      <c r="V23" s="37" t="s">
        <v>764</v>
      </c>
      <c r="W23" s="85">
        <v>41523</v>
      </c>
      <c r="X23" s="37"/>
      <c r="Y23" s="37"/>
      <c r="Z23" s="37"/>
      <c r="AA23" s="37"/>
      <c r="AB23" s="86"/>
      <c r="AC23" s="37"/>
      <c r="AD23" s="39">
        <v>455</v>
      </c>
      <c r="AE23" s="38" t="str">
        <f>(TRUNC(AD23/12))&amp;"년 "&amp;(ROUNDDOWN(MOD(AD23,12),0))&amp;"개월"</f>
        <v>37년 11개월</v>
      </c>
      <c r="AF23" s="39">
        <f ca="1">($AL$1-K23)/30</f>
        <v>33.466666666666669</v>
      </c>
      <c r="AG23" s="39" t="str">
        <f ca="1">(TRUNC(AF23/12))&amp;"년 "&amp;(ROUNDDOWN(MOD(AF23,12),0))&amp;"개월"</f>
        <v>2년 9개월</v>
      </c>
      <c r="AH23" s="39">
        <f ca="1">+AD23+AF23</f>
        <v>488.4666666666667</v>
      </c>
      <c r="AI23" s="39" t="str">
        <f ca="1">(TRUNC(AH23/12))&amp;"년 "&amp;(ROUNDDOWN(MOD(AH23,12),0))&amp;"개월"</f>
        <v>40년 8개월</v>
      </c>
      <c r="AJ23" s="96" t="s">
        <v>3935</v>
      </c>
      <c r="AK23" s="86" t="s">
        <v>3936</v>
      </c>
      <c r="AL23" s="96" t="s">
        <v>3937</v>
      </c>
      <c r="AM23" s="37"/>
      <c r="AN23" s="37" t="s">
        <v>3938</v>
      </c>
      <c r="AO23" s="86"/>
      <c r="AP23" s="32"/>
      <c r="AQ23" s="32" t="s">
        <v>2190</v>
      </c>
      <c r="AR23" s="32"/>
      <c r="AS23" s="32"/>
      <c r="AT23" s="32"/>
      <c r="AU23" s="32"/>
      <c r="AV23" s="32"/>
      <c r="AW23" s="32"/>
      <c r="AX23" s="32"/>
      <c r="AY23" s="32"/>
      <c r="AZ23" s="32"/>
    </row>
    <row r="24" spans="1:52" ht="16.5" customHeight="1">
      <c r="A24" s="33" t="s">
        <v>2238</v>
      </c>
      <c r="B24" s="86">
        <v>230802</v>
      </c>
      <c r="C24" s="86" t="s">
        <v>2051</v>
      </c>
      <c r="D24" s="104" t="s">
        <v>3968</v>
      </c>
      <c r="E24" s="104">
        <v>1</v>
      </c>
      <c r="F24" s="86" t="s">
        <v>139</v>
      </c>
      <c r="G24" s="86"/>
      <c r="H24" s="83" t="s">
        <v>4135</v>
      </c>
      <c r="I24" s="37" t="s">
        <v>3969</v>
      </c>
      <c r="J24" s="86" t="s">
        <v>3970</v>
      </c>
      <c r="K24" s="36">
        <v>45159</v>
      </c>
      <c r="L24" s="36"/>
      <c r="M24" s="86"/>
      <c r="N24" s="37" t="s">
        <v>146</v>
      </c>
      <c r="O24" s="37" t="s">
        <v>3971</v>
      </c>
      <c r="P24" s="86" t="s">
        <v>753</v>
      </c>
      <c r="Q24" s="86" t="s">
        <v>870</v>
      </c>
      <c r="R24" s="37" t="s">
        <v>2680</v>
      </c>
      <c r="S24" s="100">
        <v>34366</v>
      </c>
      <c r="T24" s="37" t="s">
        <v>405</v>
      </c>
      <c r="U24" s="85">
        <v>34274</v>
      </c>
      <c r="V24" s="37" t="s">
        <v>1662</v>
      </c>
      <c r="W24" s="85">
        <v>39330</v>
      </c>
      <c r="X24" s="37"/>
      <c r="Y24" s="37"/>
      <c r="Z24" s="37"/>
      <c r="AA24" s="37"/>
      <c r="AB24" s="86"/>
      <c r="AC24" s="37"/>
      <c r="AD24" s="39">
        <v>348</v>
      </c>
      <c r="AE24" s="38" t="str">
        <f>(TRUNC(AD24/12))&amp;"년 "&amp;(ROUNDDOWN(MOD(AD24,12),0))&amp;"개월"</f>
        <v>29년 0개월</v>
      </c>
      <c r="AF24" s="39">
        <f ca="1">($AL$1-K24)/30</f>
        <v>31.833333333333332</v>
      </c>
      <c r="AG24" s="39" t="str">
        <f ca="1">(TRUNC(AF24/12))&amp;"년 "&amp;(ROUNDDOWN(MOD(AF24,12),0))&amp;"개월"</f>
        <v>2년 7개월</v>
      </c>
      <c r="AH24" s="39">
        <f ca="1">+AD24+AF24</f>
        <v>379.83333333333331</v>
      </c>
      <c r="AI24" s="39" t="str">
        <f ca="1">(TRUNC(AH24/12))&amp;"년 "&amp;(ROUNDDOWN(MOD(AH24,12),0))&amp;"개월"</f>
        <v>31년 7개월</v>
      </c>
      <c r="AJ24" s="96" t="s">
        <v>3972</v>
      </c>
      <c r="AK24" s="86" t="s">
        <v>3973</v>
      </c>
      <c r="AL24" s="96" t="s">
        <v>3974</v>
      </c>
      <c r="AM24" s="37"/>
      <c r="AN24" s="37" t="s">
        <v>3975</v>
      </c>
      <c r="AO24" s="86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</row>
    <row r="25" spans="1:52" ht="16.5" customHeight="1">
      <c r="A25" s="33" t="s">
        <v>2018</v>
      </c>
      <c r="B25" s="86">
        <v>230702</v>
      </c>
      <c r="C25" s="86" t="s">
        <v>3939</v>
      </c>
      <c r="D25" s="104" t="s">
        <v>3940</v>
      </c>
      <c r="E25" s="104"/>
      <c r="F25" s="86" t="s">
        <v>139</v>
      </c>
      <c r="G25" s="86"/>
      <c r="H25" s="83" t="s">
        <v>4135</v>
      </c>
      <c r="I25" s="86"/>
      <c r="J25" s="86" t="s">
        <v>3941</v>
      </c>
      <c r="K25" s="36">
        <v>45118</v>
      </c>
      <c r="L25" s="36"/>
      <c r="M25" s="86"/>
      <c r="N25" s="37" t="s">
        <v>153</v>
      </c>
      <c r="O25" s="37" t="s">
        <v>355</v>
      </c>
      <c r="P25" s="86" t="s">
        <v>2662</v>
      </c>
      <c r="Q25" s="86" t="s">
        <v>711</v>
      </c>
      <c r="R25" s="37" t="s">
        <v>209</v>
      </c>
      <c r="S25" s="85">
        <v>41689</v>
      </c>
      <c r="T25" s="37" t="s">
        <v>569</v>
      </c>
      <c r="U25" s="85">
        <v>36325</v>
      </c>
      <c r="V25" s="37" t="s">
        <v>1113</v>
      </c>
      <c r="W25" s="85">
        <v>36381</v>
      </c>
      <c r="X25" s="37"/>
      <c r="Y25" s="86"/>
      <c r="Z25" s="37"/>
      <c r="AA25" s="37"/>
      <c r="AB25" s="86"/>
      <c r="AC25" s="37"/>
      <c r="AD25" s="39">
        <v>254</v>
      </c>
      <c r="AE25" s="38" t="str">
        <f>(TRUNC(AD25/12))&amp;"년 "&amp;(ROUNDDOWN(MOD(AD25,12),0))&amp;"개월"</f>
        <v>21년 2개월</v>
      </c>
      <c r="AF25" s="39">
        <f ca="1">($AL$1-K25)/30</f>
        <v>33.200000000000003</v>
      </c>
      <c r="AG25" s="39" t="str">
        <f ca="1">(TRUNC(AF25/12))&amp;"년 "&amp;(ROUNDDOWN(MOD(AF25,12),0))&amp;"개월"</f>
        <v>2년 9개월</v>
      </c>
      <c r="AH25" s="39">
        <f ca="1">+AD25+AF25</f>
        <v>287.2</v>
      </c>
      <c r="AI25" s="39" t="str">
        <f ca="1">(TRUNC(AH25/12))&amp;"년 "&amp;(ROUNDDOWN(MOD(AH25,12),0))&amp;"개월"</f>
        <v>23년 11개월</v>
      </c>
      <c r="AJ25" s="96" t="s">
        <v>3942</v>
      </c>
      <c r="AK25" s="86" t="s">
        <v>3943</v>
      </c>
      <c r="AL25" s="96" t="s">
        <v>3944</v>
      </c>
      <c r="AM25" s="37"/>
      <c r="AN25" s="37" t="s">
        <v>3945</v>
      </c>
      <c r="AO25" s="86"/>
      <c r="AP25" s="32"/>
      <c r="AQ25" s="32" t="s">
        <v>2190</v>
      </c>
      <c r="AR25" s="32"/>
      <c r="AS25" s="32"/>
      <c r="AT25" s="32"/>
      <c r="AU25" s="32"/>
      <c r="AV25" s="32"/>
      <c r="AW25" s="32"/>
      <c r="AX25" s="32"/>
      <c r="AY25" s="32"/>
      <c r="AZ25" s="32"/>
    </row>
    <row r="26" spans="1:52" ht="16.5" customHeight="1">
      <c r="A26" s="33" t="s">
        <v>1989</v>
      </c>
      <c r="B26" s="86">
        <v>230202</v>
      </c>
      <c r="C26" s="86" t="s">
        <v>2051</v>
      </c>
      <c r="D26" s="86" t="s">
        <v>2488</v>
      </c>
      <c r="E26" s="86">
        <v>1</v>
      </c>
      <c r="F26" s="86" t="s">
        <v>228</v>
      </c>
      <c r="G26" s="87"/>
      <c r="H26" s="83" t="s">
        <v>4135</v>
      </c>
      <c r="I26" s="82"/>
      <c r="J26" s="86" t="s">
        <v>2489</v>
      </c>
      <c r="K26" s="36">
        <v>44958</v>
      </c>
      <c r="L26" s="36"/>
      <c r="M26" s="85"/>
      <c r="N26" s="86" t="s">
        <v>153</v>
      </c>
      <c r="O26" s="37" t="s">
        <v>982</v>
      </c>
      <c r="P26" s="86" t="s">
        <v>1133</v>
      </c>
      <c r="Q26" s="86" t="s">
        <v>711</v>
      </c>
      <c r="R26" s="37" t="s">
        <v>209</v>
      </c>
      <c r="S26" s="36">
        <v>36210</v>
      </c>
      <c r="T26" s="37" t="s">
        <v>275</v>
      </c>
      <c r="U26" s="85">
        <v>36081</v>
      </c>
      <c r="V26" s="37"/>
      <c r="W26" s="85"/>
      <c r="X26" s="37"/>
      <c r="Y26" s="85"/>
      <c r="Z26" s="37"/>
      <c r="AA26" s="37"/>
      <c r="AB26" s="86"/>
      <c r="AC26" s="37"/>
      <c r="AD26" s="39">
        <v>267</v>
      </c>
      <c r="AE26" s="86" t="str">
        <f>(TRUNC(AD26/12))&amp;"년 "&amp;(ROUNDDOWN(MOD(AD26,12),0))&amp;"개월"</f>
        <v>22년 3개월</v>
      </c>
      <c r="AF26" s="39">
        <f ca="1">($AL$1-K26)/30</f>
        <v>38.533333333333331</v>
      </c>
      <c r="AG26" s="39" t="str">
        <f ca="1">(TRUNC(AF26/12))&amp;"년 "&amp;(ROUNDDOWN(MOD(AF26,12),0))&amp;"개월"</f>
        <v>3년 2개월</v>
      </c>
      <c r="AH26" s="39">
        <f ca="1">+AD26+AF26</f>
        <v>305.5333333333333</v>
      </c>
      <c r="AI26" s="39" t="str">
        <f ca="1">(TRUNC(AH26/12))&amp;"년 "&amp;(ROUNDDOWN(MOD(AH26,12),0))&amp;"개월"</f>
        <v>25년 5개월</v>
      </c>
      <c r="AJ26" s="96" t="s">
        <v>2490</v>
      </c>
      <c r="AK26" s="86" t="s">
        <v>2491</v>
      </c>
      <c r="AL26" s="96" t="s">
        <v>2492</v>
      </c>
      <c r="AM26" s="37"/>
      <c r="AN26" s="37" t="s">
        <v>2493</v>
      </c>
      <c r="AO26" s="86"/>
      <c r="AP26" s="32"/>
      <c r="AQ26" s="32" t="s">
        <v>2190</v>
      </c>
      <c r="AR26" s="32"/>
      <c r="AS26" s="32"/>
      <c r="AT26" s="32"/>
      <c r="AU26" s="32"/>
      <c r="AV26" s="32"/>
      <c r="AW26" s="32"/>
      <c r="AX26" s="32"/>
      <c r="AY26" s="32"/>
      <c r="AZ26" s="32"/>
    </row>
    <row r="27" spans="1:52" ht="16.5" customHeight="1">
      <c r="A27" s="33" t="s">
        <v>341</v>
      </c>
      <c r="B27" s="86">
        <v>200501</v>
      </c>
      <c r="C27" s="81" t="s">
        <v>226</v>
      </c>
      <c r="D27" s="104" t="s">
        <v>3476</v>
      </c>
      <c r="E27" s="104">
        <v>1</v>
      </c>
      <c r="F27" s="86" t="s">
        <v>44</v>
      </c>
      <c r="G27" s="87"/>
      <c r="H27" s="83" t="s">
        <v>3295</v>
      </c>
      <c r="I27" s="34" t="s">
        <v>3296</v>
      </c>
      <c r="J27" s="86" t="s">
        <v>3477</v>
      </c>
      <c r="K27" s="36">
        <v>43958</v>
      </c>
      <c r="L27" s="36">
        <v>44228</v>
      </c>
      <c r="M27" s="85"/>
      <c r="N27" s="37" t="s">
        <v>153</v>
      </c>
      <c r="O27" s="37" t="s">
        <v>3031</v>
      </c>
      <c r="P27" s="86" t="s">
        <v>3478</v>
      </c>
      <c r="Q27" s="86" t="s">
        <v>1873</v>
      </c>
      <c r="R27" s="37" t="s">
        <v>209</v>
      </c>
      <c r="S27" s="36">
        <v>40955</v>
      </c>
      <c r="T27" s="37"/>
      <c r="U27" s="85"/>
      <c r="V27" s="37"/>
      <c r="W27" s="85"/>
      <c r="X27" s="37"/>
      <c r="Y27" s="86"/>
      <c r="Z27" s="37"/>
      <c r="AA27" s="37"/>
      <c r="AB27" s="86"/>
      <c r="AC27" s="37"/>
      <c r="AD27" s="39">
        <v>29</v>
      </c>
      <c r="AE27" s="86" t="str">
        <f>(TRUNC(AD27/12))&amp;"년 "&amp;(ROUNDDOWN(MOD(AD27,12),0))&amp;"개월"</f>
        <v>2년 5개월</v>
      </c>
      <c r="AF27" s="39">
        <f ca="1">($AL$1-K27)/30</f>
        <v>71.86666666666666</v>
      </c>
      <c r="AG27" s="86" t="str">
        <f ca="1">(TRUNC(AF27/12))&amp;"년 "&amp;(ROUNDDOWN(MOD(AF27,12),0))&amp;"개월"</f>
        <v>5년 11개월</v>
      </c>
      <c r="AH27" s="39">
        <f ca="1">+AD27+AF27</f>
        <v>100.86666666666666</v>
      </c>
      <c r="AI27" s="91" t="str">
        <f ca="1">(TRUNC(AH27/12))&amp;"년 "&amp;(ROUNDDOWN(MOD(AH27,12),0))&amp;"개월"</f>
        <v>8년 4개월</v>
      </c>
      <c r="AJ27" s="96" t="s">
        <v>3479</v>
      </c>
      <c r="AK27" s="86" t="s">
        <v>3480</v>
      </c>
      <c r="AL27" s="50" t="s">
        <v>3481</v>
      </c>
      <c r="AM27" s="37"/>
      <c r="AN27" s="37" t="s">
        <v>3482</v>
      </c>
      <c r="AO27" s="54" t="s">
        <v>1787</v>
      </c>
      <c r="AP27" s="32"/>
      <c r="AQ27" s="32" t="s">
        <v>2190</v>
      </c>
      <c r="AR27" s="32"/>
      <c r="AS27" s="32"/>
      <c r="AT27" s="32"/>
      <c r="AU27" s="32"/>
      <c r="AV27" s="32"/>
      <c r="AW27" s="32"/>
      <c r="AX27" s="32"/>
      <c r="AY27" s="32"/>
      <c r="AZ27" s="32"/>
    </row>
    <row r="28" spans="1:52" ht="16.5" customHeight="1">
      <c r="A28" s="33" t="s">
        <v>1387</v>
      </c>
      <c r="B28" s="81" t="s">
        <v>3524</v>
      </c>
      <c r="C28" s="111" t="s">
        <v>226</v>
      </c>
      <c r="D28" s="108" t="s">
        <v>1868</v>
      </c>
      <c r="E28" s="108">
        <v>1</v>
      </c>
      <c r="F28" s="82" t="s">
        <v>34</v>
      </c>
      <c r="G28" s="82" t="s">
        <v>1869</v>
      </c>
      <c r="H28" s="80" t="s">
        <v>4130</v>
      </c>
      <c r="I28" s="34" t="s">
        <v>4110</v>
      </c>
      <c r="J28" s="84" t="s">
        <v>1870</v>
      </c>
      <c r="K28" s="36">
        <v>44221</v>
      </c>
      <c r="L28" s="36"/>
      <c r="M28" s="36"/>
      <c r="N28" s="37" t="s">
        <v>146</v>
      </c>
      <c r="O28" s="37" t="s">
        <v>1871</v>
      </c>
      <c r="P28" s="87" t="s">
        <v>1872</v>
      </c>
      <c r="Q28" s="87" t="s">
        <v>1873</v>
      </c>
      <c r="R28" s="37" t="s">
        <v>265</v>
      </c>
      <c r="S28" s="36">
        <v>38037</v>
      </c>
      <c r="T28" s="37"/>
      <c r="U28" s="36"/>
      <c r="V28" s="37"/>
      <c r="W28" s="36"/>
      <c r="X28" s="37"/>
      <c r="Y28" s="85"/>
      <c r="Z28" s="37"/>
      <c r="AA28" s="37"/>
      <c r="AB28" s="85"/>
      <c r="AC28" s="37"/>
      <c r="AD28" s="39">
        <v>234</v>
      </c>
      <c r="AE28" s="87" t="str">
        <f>(TRUNC(AD28/12))&amp;"년 "&amp;(ROUNDDOWN(MOD(AD28,12),0))&amp;"개월"</f>
        <v>19년 6개월</v>
      </c>
      <c r="AF28" s="39">
        <f ca="1">($AL$1-K28)/30</f>
        <v>63.1</v>
      </c>
      <c r="AG28" s="91" t="str">
        <f ca="1">(TRUNC(AF28/12))&amp;"년 "&amp;(ROUNDDOWN(MOD(AF28,12),0))&amp;"개월"</f>
        <v>5년 3개월</v>
      </c>
      <c r="AH28" s="39">
        <f ca="1">+AD28+AF28</f>
        <v>297.10000000000002</v>
      </c>
      <c r="AI28" s="39" t="str">
        <f ca="1">(TRUNC(AH28/12))&amp;"년 "&amp;(ROUNDDOWN(MOD(AH28,12),0))&amp;"개월"</f>
        <v>24년 9개월</v>
      </c>
      <c r="AJ28" s="88" t="s">
        <v>1874</v>
      </c>
      <c r="AK28" s="81" t="s">
        <v>1875</v>
      </c>
      <c r="AL28" s="62" t="s">
        <v>600</v>
      </c>
      <c r="AM28" s="37"/>
      <c r="AN28" s="37" t="s">
        <v>3525</v>
      </c>
      <c r="AO28" s="54" t="s">
        <v>3526</v>
      </c>
      <c r="AP28" s="32"/>
      <c r="AQ28" s="32" t="s">
        <v>2190</v>
      </c>
      <c r="AR28" s="32"/>
      <c r="AS28" s="32"/>
      <c r="AT28" s="32"/>
      <c r="AU28" s="32"/>
      <c r="AV28" s="32"/>
      <c r="AW28" s="32"/>
      <c r="AX28" s="32"/>
      <c r="AY28" s="32"/>
      <c r="AZ28" s="32"/>
    </row>
    <row r="29" spans="1:52" ht="15" customHeight="1">
      <c r="A29" s="33" t="s">
        <v>864</v>
      </c>
      <c r="B29" s="86">
        <v>211002</v>
      </c>
      <c r="C29" s="33" t="s">
        <v>226</v>
      </c>
      <c r="D29" s="104" t="s">
        <v>3635</v>
      </c>
      <c r="E29" s="104">
        <v>1</v>
      </c>
      <c r="F29" s="86" t="s">
        <v>139</v>
      </c>
      <c r="G29" s="38"/>
      <c r="H29" s="83" t="s">
        <v>3295</v>
      </c>
      <c r="I29" s="34" t="s">
        <v>463</v>
      </c>
      <c r="J29" s="86" t="s">
        <v>3636</v>
      </c>
      <c r="K29" s="36">
        <v>44496</v>
      </c>
      <c r="L29" s="36"/>
      <c r="M29" s="36"/>
      <c r="N29" s="37" t="s">
        <v>448</v>
      </c>
      <c r="O29" s="37" t="s">
        <v>3637</v>
      </c>
      <c r="P29" s="86" t="s">
        <v>2654</v>
      </c>
      <c r="Q29" s="86" t="s">
        <v>1414</v>
      </c>
      <c r="R29" s="37" t="s">
        <v>448</v>
      </c>
      <c r="S29" s="36">
        <v>31836</v>
      </c>
      <c r="T29" s="37"/>
      <c r="U29" s="85"/>
      <c r="V29" s="37"/>
      <c r="W29" s="85"/>
      <c r="X29" s="37"/>
      <c r="Y29" s="85"/>
      <c r="Z29" s="37"/>
      <c r="AA29" s="37"/>
      <c r="AB29" s="86"/>
      <c r="AC29" s="37"/>
      <c r="AD29" s="39">
        <v>200</v>
      </c>
      <c r="AE29" s="86" t="str">
        <f>(TRUNC(AD29/12))&amp;"년 "&amp;(ROUNDDOWN(MOD(AD29,12),0))&amp;"개월"</f>
        <v>16년 8개월</v>
      </c>
      <c r="AF29" s="39">
        <f ca="1">($AL$1-K29)/30</f>
        <v>53.93333333333333</v>
      </c>
      <c r="AG29" s="86" t="str">
        <f ca="1">(TRUNC(AF29/12))&amp;"년 "&amp;(ROUNDDOWN(MOD(AF29,12),0))&amp;"개월"</f>
        <v>4년 5개월</v>
      </c>
      <c r="AH29" s="39">
        <f ca="1">+AD29+AF29</f>
        <v>253.93333333333334</v>
      </c>
      <c r="AI29" s="39" t="str">
        <f ca="1">(TRUNC(AH29/12))&amp;"년 "&amp;(ROUNDDOWN(MOD(AH29,12),0))&amp;"개월"</f>
        <v>21년 1개월</v>
      </c>
      <c r="AJ29" s="96" t="s">
        <v>3638</v>
      </c>
      <c r="AK29" s="86" t="s">
        <v>3639</v>
      </c>
      <c r="AL29" s="50" t="s">
        <v>3640</v>
      </c>
      <c r="AM29" s="37"/>
      <c r="AN29" s="37" t="s">
        <v>3641</v>
      </c>
      <c r="AO29" s="54" t="s">
        <v>3642</v>
      </c>
      <c r="AP29" s="32"/>
      <c r="AQ29" s="32" t="s">
        <v>2190</v>
      </c>
      <c r="AR29" s="32"/>
      <c r="AS29" s="32"/>
      <c r="AT29" s="32"/>
      <c r="AU29" s="32"/>
      <c r="AV29" s="32"/>
      <c r="AW29" s="32"/>
      <c r="AX29" s="32"/>
      <c r="AY29" s="32"/>
      <c r="AZ29" s="32"/>
    </row>
    <row r="30" spans="1:52" ht="15" customHeight="1">
      <c r="A30" s="33" t="s">
        <v>129</v>
      </c>
      <c r="B30" s="86">
        <v>140702</v>
      </c>
      <c r="C30" s="81" t="s">
        <v>2051</v>
      </c>
      <c r="D30" s="104" t="s">
        <v>3293</v>
      </c>
      <c r="E30" s="104">
        <v>2</v>
      </c>
      <c r="F30" s="86" t="s">
        <v>228</v>
      </c>
      <c r="G30" s="87" t="s">
        <v>3294</v>
      </c>
      <c r="H30" s="80" t="s">
        <v>3295</v>
      </c>
      <c r="I30" s="82" t="s">
        <v>3296</v>
      </c>
      <c r="J30" s="86" t="s">
        <v>3297</v>
      </c>
      <c r="K30" s="36">
        <v>41821</v>
      </c>
      <c r="L30" s="36">
        <v>43891</v>
      </c>
      <c r="M30" s="85"/>
      <c r="N30" s="37" t="s">
        <v>146</v>
      </c>
      <c r="O30" s="37" t="s">
        <v>3298</v>
      </c>
      <c r="P30" s="86" t="s">
        <v>607</v>
      </c>
      <c r="Q30" s="86" t="s">
        <v>1134</v>
      </c>
      <c r="R30" s="37" t="s">
        <v>265</v>
      </c>
      <c r="S30" s="85">
        <v>35472</v>
      </c>
      <c r="T30" s="37"/>
      <c r="U30" s="86"/>
      <c r="V30" s="37"/>
      <c r="W30" s="86"/>
      <c r="X30" s="37"/>
      <c r="Y30" s="86"/>
      <c r="Z30" s="37" t="s">
        <v>230</v>
      </c>
      <c r="AA30" s="37"/>
      <c r="AB30" s="86"/>
      <c r="AC30" s="37"/>
      <c r="AD30" s="39">
        <v>147</v>
      </c>
      <c r="AE30" s="86" t="str">
        <f>(TRUNC(AD30/12))&amp;"년 "&amp;(ROUNDDOWN(MOD(AD30,12),0))&amp;"개월"</f>
        <v>12년 3개월</v>
      </c>
      <c r="AF30" s="39">
        <f ca="1">($AL$1-K30)/30</f>
        <v>143.1</v>
      </c>
      <c r="AG30" s="86" t="str">
        <f ca="1">(TRUNC(AF30/12))&amp;"년 "&amp;(ROUNDDOWN(MOD(AF30,12),0))&amp;"개월"</f>
        <v>11년 11개월</v>
      </c>
      <c r="AH30" s="39">
        <f ca="1">+AD30+AF30</f>
        <v>290.10000000000002</v>
      </c>
      <c r="AI30" s="86" t="str">
        <f ca="1">(TRUNC(AH30/12))&amp;"년 "&amp;(ROUNDDOWN(MOD(AH30,12),0))&amp;"개월"</f>
        <v>24년 2개월</v>
      </c>
      <c r="AJ30" s="96" t="s">
        <v>3299</v>
      </c>
      <c r="AK30" s="86" t="s">
        <v>3300</v>
      </c>
      <c r="AL30" s="50" t="s">
        <v>3301</v>
      </c>
      <c r="AM30" s="37"/>
      <c r="AN30" s="37" t="s">
        <v>3302</v>
      </c>
      <c r="AO30" s="54" t="s">
        <v>3303</v>
      </c>
      <c r="AP30" s="32"/>
      <c r="AQ30" s="32" t="s">
        <v>2190</v>
      </c>
      <c r="AR30" s="32"/>
      <c r="AS30" s="32"/>
      <c r="AT30" s="32"/>
      <c r="AU30" s="32"/>
      <c r="AV30" s="32"/>
      <c r="AW30" s="32"/>
      <c r="AX30" s="32"/>
      <c r="AY30" s="32"/>
      <c r="AZ30" s="32"/>
    </row>
    <row r="31" spans="1:52" ht="15" customHeight="1">
      <c r="A31" s="33" t="s">
        <v>233</v>
      </c>
      <c r="B31" s="86">
        <v>200301</v>
      </c>
      <c r="C31" s="33" t="s">
        <v>193</v>
      </c>
      <c r="D31" s="104" t="s">
        <v>3469</v>
      </c>
      <c r="E31" s="104">
        <v>2</v>
      </c>
      <c r="F31" s="86" t="s">
        <v>44</v>
      </c>
      <c r="G31" s="87"/>
      <c r="H31" s="80" t="s">
        <v>3295</v>
      </c>
      <c r="I31" s="34" t="s">
        <v>3296</v>
      </c>
      <c r="J31" s="86" t="s">
        <v>3470</v>
      </c>
      <c r="K31" s="36">
        <v>43892</v>
      </c>
      <c r="L31" s="36">
        <v>44228</v>
      </c>
      <c r="M31" s="36"/>
      <c r="N31" s="37" t="s">
        <v>146</v>
      </c>
      <c r="O31" s="37" t="s">
        <v>1871</v>
      </c>
      <c r="P31" s="86" t="s">
        <v>264</v>
      </c>
      <c r="Q31" s="86" t="s">
        <v>1873</v>
      </c>
      <c r="R31" s="37" t="s">
        <v>265</v>
      </c>
      <c r="S31" s="36">
        <v>42776</v>
      </c>
      <c r="T31" s="37"/>
      <c r="U31" s="85"/>
      <c r="V31" s="37"/>
      <c r="W31" s="85"/>
      <c r="X31" s="37"/>
      <c r="Y31" s="86"/>
      <c r="Z31" s="37"/>
      <c r="AA31" s="37"/>
      <c r="AB31" s="86"/>
      <c r="AC31" s="37"/>
      <c r="AD31" s="39">
        <v>30</v>
      </c>
      <c r="AE31" s="86" t="str">
        <f>(TRUNC(AD31/12))&amp;"년 "&amp;(ROUNDDOWN(MOD(AD31,12),0))&amp;"개월"</f>
        <v>2년 6개월</v>
      </c>
      <c r="AF31" s="39">
        <f ca="1">($AL$1-K31)/30</f>
        <v>74.066666666666663</v>
      </c>
      <c r="AG31" s="86" t="str">
        <f ca="1">(TRUNC(AF31/12))&amp;"년 "&amp;(ROUNDDOWN(MOD(AF31,12),0))&amp;"개월"</f>
        <v>6년 2개월</v>
      </c>
      <c r="AH31" s="39">
        <f ca="1">+AD31+AF31</f>
        <v>104.06666666666666</v>
      </c>
      <c r="AI31" s="91" t="str">
        <f ca="1">(TRUNC(AH31/12))&amp;"년 "&amp;(ROUNDDOWN(MOD(AH31,12),0))&amp;"개월"</f>
        <v>8년 8개월</v>
      </c>
      <c r="AJ31" s="96" t="s">
        <v>3471</v>
      </c>
      <c r="AK31" s="86" t="s">
        <v>3472</v>
      </c>
      <c r="AL31" s="50" t="s">
        <v>3473</v>
      </c>
      <c r="AM31" s="86"/>
      <c r="AN31" s="37" t="s">
        <v>3474</v>
      </c>
      <c r="AO31" s="54" t="s">
        <v>3475</v>
      </c>
      <c r="AP31" s="32"/>
      <c r="AQ31" s="32" t="s">
        <v>2190</v>
      </c>
      <c r="AR31" s="32"/>
      <c r="AS31" s="32"/>
      <c r="AT31" s="32"/>
      <c r="AU31" s="32"/>
      <c r="AV31" s="32"/>
      <c r="AW31" s="32"/>
      <c r="AX31" s="32"/>
      <c r="AY31" s="32"/>
      <c r="AZ31" s="32"/>
    </row>
    <row r="32" spans="1:52" ht="16.5" customHeight="1">
      <c r="A32" s="33" t="s">
        <v>377</v>
      </c>
      <c r="B32" s="86">
        <v>210201</v>
      </c>
      <c r="C32" s="33" t="s">
        <v>924</v>
      </c>
      <c r="D32" s="104" t="s">
        <v>3535</v>
      </c>
      <c r="E32" s="104">
        <v>2</v>
      </c>
      <c r="F32" s="86" t="s">
        <v>88</v>
      </c>
      <c r="G32" s="87"/>
      <c r="H32" s="80" t="s">
        <v>3295</v>
      </c>
      <c r="I32" s="83" t="s">
        <v>3296</v>
      </c>
      <c r="J32" s="86" t="s">
        <v>3536</v>
      </c>
      <c r="K32" s="36">
        <v>44228</v>
      </c>
      <c r="L32" s="36">
        <v>44562</v>
      </c>
      <c r="M32" s="36"/>
      <c r="N32" s="86" t="s">
        <v>153</v>
      </c>
      <c r="O32" s="86" t="s">
        <v>731</v>
      </c>
      <c r="P32" s="86" t="s">
        <v>3537</v>
      </c>
      <c r="Q32" s="87" t="s">
        <v>1873</v>
      </c>
      <c r="R32" s="86" t="s">
        <v>209</v>
      </c>
      <c r="S32" s="85">
        <v>43153</v>
      </c>
      <c r="T32" s="37" t="s">
        <v>405</v>
      </c>
      <c r="U32" s="36">
        <v>42132</v>
      </c>
      <c r="V32" s="37"/>
      <c r="W32" s="36"/>
      <c r="X32" s="37"/>
      <c r="Y32" s="85"/>
      <c r="Z32" s="37"/>
      <c r="AA32" s="37"/>
      <c r="AB32" s="86"/>
      <c r="AC32" s="37"/>
      <c r="AD32" s="39">
        <v>74</v>
      </c>
      <c r="AE32" s="86" t="str">
        <f>(TRUNC(AD32/12))&amp;"년 "&amp;(ROUNDDOWN(MOD(AD32,12),0))&amp;"개월"</f>
        <v>6년 2개월</v>
      </c>
      <c r="AF32" s="39">
        <f ca="1">($AL$1-K32)/30</f>
        <v>62.866666666666667</v>
      </c>
      <c r="AG32" s="86" t="str">
        <f ca="1">(TRUNC(AF32/12))&amp;"년 "&amp;(ROUNDDOWN(MOD(AF32,12),0))&amp;"개월"</f>
        <v>5년 2개월</v>
      </c>
      <c r="AH32" s="39">
        <f ca="1">+AD32+AF32</f>
        <v>136.86666666666667</v>
      </c>
      <c r="AI32" s="39" t="str">
        <f ca="1">(TRUNC(AH32/12))&amp;"년 "&amp;(ROUNDDOWN(MOD(AH32,12),0))&amp;"개월"</f>
        <v>11년 4개월</v>
      </c>
      <c r="AJ32" s="96" t="s">
        <v>3538</v>
      </c>
      <c r="AK32" s="86" t="s">
        <v>3539</v>
      </c>
      <c r="AL32" s="50" t="s">
        <v>3540</v>
      </c>
      <c r="AM32" s="37"/>
      <c r="AN32" s="37" t="s">
        <v>3541</v>
      </c>
      <c r="AO32" s="54" t="s">
        <v>3542</v>
      </c>
      <c r="AP32" s="32"/>
      <c r="AQ32" s="32" t="s">
        <v>2190</v>
      </c>
      <c r="AR32" s="32"/>
      <c r="AS32" s="32"/>
      <c r="AT32" s="32"/>
      <c r="AU32" s="32"/>
      <c r="AV32" s="32"/>
      <c r="AW32" s="32"/>
      <c r="AX32" s="32"/>
      <c r="AY32" s="32"/>
      <c r="AZ32" s="32"/>
    </row>
    <row r="33" spans="1:52" ht="16.5" customHeight="1">
      <c r="A33" s="33" t="s">
        <v>452</v>
      </c>
      <c r="B33" s="86">
        <v>210801</v>
      </c>
      <c r="C33" s="33" t="s">
        <v>226</v>
      </c>
      <c r="D33" s="104" t="s">
        <v>3620</v>
      </c>
      <c r="E33" s="104">
        <v>2</v>
      </c>
      <c r="F33" s="86" t="s">
        <v>88</v>
      </c>
      <c r="G33" s="87"/>
      <c r="H33" s="83" t="s">
        <v>3295</v>
      </c>
      <c r="I33" s="82" t="s">
        <v>463</v>
      </c>
      <c r="J33" s="86" t="s">
        <v>3621</v>
      </c>
      <c r="K33" s="85">
        <v>44410</v>
      </c>
      <c r="L33" s="85"/>
      <c r="M33" s="36"/>
      <c r="N33" s="86" t="s">
        <v>153</v>
      </c>
      <c r="O33" s="86" t="s">
        <v>1981</v>
      </c>
      <c r="P33" s="86" t="s">
        <v>3622</v>
      </c>
      <c r="Q33" s="86" t="s">
        <v>964</v>
      </c>
      <c r="R33" s="86" t="s">
        <v>209</v>
      </c>
      <c r="S33" s="85">
        <v>40410</v>
      </c>
      <c r="T33" s="86"/>
      <c r="U33" s="85"/>
      <c r="V33" s="86"/>
      <c r="W33" s="85"/>
      <c r="X33" s="86"/>
      <c r="Y33" s="85"/>
      <c r="Z33" s="86"/>
      <c r="AA33" s="86"/>
      <c r="AB33" s="86"/>
      <c r="AC33" s="86"/>
      <c r="AD33" s="91">
        <v>99</v>
      </c>
      <c r="AE33" s="86" t="str">
        <f>(TRUNC(AD33/12))&amp;"년 "&amp;(ROUNDDOWN(MOD(AD33,12),0))&amp;"개월"</f>
        <v>8년 3개월</v>
      </c>
      <c r="AF33" s="91">
        <f ca="1">($AL$1-K33)/30</f>
        <v>56.8</v>
      </c>
      <c r="AG33" s="86" t="str">
        <f ca="1">(TRUNC(AF33/12))&amp;"년 "&amp;(ROUNDDOWN(MOD(AF33,12),0))&amp;"개월"</f>
        <v>4년 8개월</v>
      </c>
      <c r="AH33" s="91">
        <f ca="1">+AD33+AF33</f>
        <v>155.80000000000001</v>
      </c>
      <c r="AI33" s="91" t="str">
        <f ca="1">(TRUNC(AH33/12))&amp;"년 "&amp;(ROUNDDOWN(MOD(AH33,12),0))&amp;"개월"</f>
        <v>12년 11개월</v>
      </c>
      <c r="AJ33" s="96" t="s">
        <v>3623</v>
      </c>
      <c r="AK33" s="86" t="s">
        <v>3624</v>
      </c>
      <c r="AL33" s="50" t="s">
        <v>3625</v>
      </c>
      <c r="AM33" s="86"/>
      <c r="AN33" s="86" t="s">
        <v>3626</v>
      </c>
      <c r="AO33" s="54" t="s">
        <v>3627</v>
      </c>
      <c r="AP33" s="32"/>
      <c r="AQ33" s="32" t="s">
        <v>2190</v>
      </c>
      <c r="AR33" s="32"/>
      <c r="AS33" s="32"/>
      <c r="AT33" s="32"/>
      <c r="AU33" s="32"/>
      <c r="AV33" s="32"/>
      <c r="AW33" s="32"/>
      <c r="AX33" s="32"/>
      <c r="AY33" s="32"/>
      <c r="AZ33" s="32"/>
    </row>
    <row r="34" spans="1:52" ht="16.5" customHeight="1">
      <c r="A34" s="33" t="s">
        <v>728</v>
      </c>
      <c r="B34" s="86">
        <v>220302</v>
      </c>
      <c r="C34" s="33" t="s">
        <v>193</v>
      </c>
      <c r="D34" s="104" t="s">
        <v>3723</v>
      </c>
      <c r="E34" s="104">
        <v>2</v>
      </c>
      <c r="F34" s="86" t="s">
        <v>51</v>
      </c>
      <c r="G34" s="87"/>
      <c r="H34" s="80" t="s">
        <v>3295</v>
      </c>
      <c r="I34" s="34" t="s">
        <v>3296</v>
      </c>
      <c r="J34" s="86" t="s">
        <v>3724</v>
      </c>
      <c r="K34" s="36">
        <v>44627</v>
      </c>
      <c r="L34" s="36"/>
      <c r="M34" s="36"/>
      <c r="N34" s="37" t="s">
        <v>153</v>
      </c>
      <c r="O34" s="37" t="s">
        <v>490</v>
      </c>
      <c r="P34" s="86" t="s">
        <v>1705</v>
      </c>
      <c r="Q34" s="86" t="s">
        <v>1873</v>
      </c>
      <c r="R34" s="37" t="s">
        <v>209</v>
      </c>
      <c r="S34" s="36">
        <v>43518</v>
      </c>
      <c r="T34" s="37"/>
      <c r="U34" s="36"/>
      <c r="V34" s="37"/>
      <c r="W34" s="36"/>
      <c r="X34" s="37"/>
      <c r="Y34" s="36"/>
      <c r="Z34" s="37"/>
      <c r="AA34" s="37"/>
      <c r="AB34" s="86"/>
      <c r="AC34" s="37"/>
      <c r="AD34" s="39">
        <v>0</v>
      </c>
      <c r="AE34" s="86" t="str">
        <f>(TRUNC(AD34/12))&amp;"년 "&amp;(ROUNDDOWN(MOD(AD34,12),0))&amp;"개월"</f>
        <v>0년 0개월</v>
      </c>
      <c r="AF34" s="39">
        <f ca="1">($AL$1-K34)/30</f>
        <v>49.56666666666667</v>
      </c>
      <c r="AG34" s="91" t="str">
        <f ca="1">(TRUNC(AF34/12))&amp;"년 "&amp;(ROUNDDOWN(MOD(AF34,12),0))&amp;"개월"</f>
        <v>4년 1개월</v>
      </c>
      <c r="AH34" s="39">
        <f ca="1">+AD34+AF34</f>
        <v>49.56666666666667</v>
      </c>
      <c r="AI34" s="39" t="str">
        <f ca="1">(TRUNC(AH34/12))&amp;"년 "&amp;(ROUNDDOWN(MOD(AH34,12),0))&amp;"개월"</f>
        <v>4년 1개월</v>
      </c>
      <c r="AJ34" s="96" t="s">
        <v>3725</v>
      </c>
      <c r="AK34" s="86" t="s">
        <v>3726</v>
      </c>
      <c r="AL34" s="94" t="s">
        <v>3727</v>
      </c>
      <c r="AM34" s="86"/>
      <c r="AN34" s="37" t="s">
        <v>3728</v>
      </c>
      <c r="AO34" s="54" t="s">
        <v>2163</v>
      </c>
      <c r="AP34" s="32"/>
      <c r="AQ34" s="32" t="s">
        <v>2190</v>
      </c>
      <c r="AR34" s="32"/>
      <c r="AS34" s="32"/>
      <c r="AT34" s="32"/>
      <c r="AU34" s="32"/>
      <c r="AV34" s="32"/>
      <c r="AW34" s="32"/>
      <c r="AX34" s="32"/>
      <c r="AY34" s="32"/>
      <c r="AZ34" s="32"/>
    </row>
    <row r="35" spans="1:52" ht="16.5" customHeight="1">
      <c r="A35" s="33" t="s">
        <v>987</v>
      </c>
      <c r="B35" s="81" t="s">
        <v>3796</v>
      </c>
      <c r="C35" s="81" t="s">
        <v>226</v>
      </c>
      <c r="D35" s="108" t="s">
        <v>3797</v>
      </c>
      <c r="E35" s="108">
        <v>2</v>
      </c>
      <c r="F35" s="82" t="s">
        <v>44</v>
      </c>
      <c r="G35" s="82"/>
      <c r="H35" s="83" t="s">
        <v>3295</v>
      </c>
      <c r="I35" s="82" t="s">
        <v>3296</v>
      </c>
      <c r="J35" s="84" t="s">
        <v>3798</v>
      </c>
      <c r="K35" s="36">
        <v>44817</v>
      </c>
      <c r="L35" s="36"/>
      <c r="M35" s="85"/>
      <c r="N35" s="37" t="s">
        <v>146</v>
      </c>
      <c r="O35" s="37" t="s">
        <v>3799</v>
      </c>
      <c r="P35" s="87" t="s">
        <v>3800</v>
      </c>
      <c r="Q35" s="87" t="s">
        <v>1873</v>
      </c>
      <c r="R35" s="37" t="s">
        <v>265</v>
      </c>
      <c r="S35" s="85"/>
      <c r="T35" s="37"/>
      <c r="U35" s="36"/>
      <c r="V35" s="37"/>
      <c r="W35" s="36"/>
      <c r="X35" s="86"/>
      <c r="Y35" s="36"/>
      <c r="Z35" s="37"/>
      <c r="AA35" s="37"/>
      <c r="AB35" s="85"/>
      <c r="AC35" s="37"/>
      <c r="AD35" s="39">
        <v>95</v>
      </c>
      <c r="AE35" s="87" t="str">
        <f>(TRUNC(AD35/12))&amp;"년 "&amp;(ROUNDDOWN(MOD(AD35,12),0))&amp;"개월"</f>
        <v>7년 11개월</v>
      </c>
      <c r="AF35" s="39">
        <f ca="1">($AL$1-K35)/30</f>
        <v>43.233333333333334</v>
      </c>
      <c r="AG35" s="39" t="str">
        <f ca="1">(TRUNC(AF35/12))&amp;"년 "&amp;(ROUNDDOWN(MOD(AF35,12),0))&amp;"개월"</f>
        <v>3년 7개월</v>
      </c>
      <c r="AH35" s="39">
        <f ca="1">+AD35+AF35</f>
        <v>138.23333333333335</v>
      </c>
      <c r="AI35" s="39" t="str">
        <f ca="1">(TRUNC(AH35/12))&amp;"년 "&amp;(ROUNDDOWN(MOD(AH35,12),0))&amp;"개월"</f>
        <v>11년 6개월</v>
      </c>
      <c r="AJ35" s="96" t="s">
        <v>3801</v>
      </c>
      <c r="AK35" s="86" t="s">
        <v>3802</v>
      </c>
      <c r="AL35" s="96" t="s">
        <v>3803</v>
      </c>
      <c r="AM35" s="86"/>
      <c r="AN35" s="37" t="s">
        <v>3804</v>
      </c>
      <c r="AO35" s="86"/>
      <c r="AP35" s="32"/>
      <c r="AQ35" s="32" t="s">
        <v>2190</v>
      </c>
      <c r="AR35" s="32"/>
      <c r="AS35" s="32"/>
      <c r="AT35" s="32"/>
      <c r="AU35" s="32"/>
      <c r="AV35" s="32"/>
      <c r="AW35" s="32"/>
      <c r="AX35" s="32"/>
      <c r="AY35" s="32"/>
      <c r="AZ35" s="32"/>
    </row>
    <row r="36" spans="1:52" ht="16.5" customHeight="1">
      <c r="A36" s="33" t="s">
        <v>2311</v>
      </c>
      <c r="B36" s="86">
        <v>240401</v>
      </c>
      <c r="C36" s="86" t="s">
        <v>193</v>
      </c>
      <c r="D36" s="104" t="s">
        <v>4008</v>
      </c>
      <c r="E36" s="104">
        <v>2</v>
      </c>
      <c r="F36" s="86" t="s">
        <v>51</v>
      </c>
      <c r="G36" s="86"/>
      <c r="H36" s="83" t="s">
        <v>3295</v>
      </c>
      <c r="I36" s="86" t="s">
        <v>3296</v>
      </c>
      <c r="J36" s="86" t="s">
        <v>4009</v>
      </c>
      <c r="K36" s="36">
        <v>45383</v>
      </c>
      <c r="L36" s="36"/>
      <c r="M36" s="86"/>
      <c r="N36" s="37" t="s">
        <v>146</v>
      </c>
      <c r="O36" s="37" t="s">
        <v>3913</v>
      </c>
      <c r="P36" s="86" t="s">
        <v>4010</v>
      </c>
      <c r="Q36" s="86" t="s">
        <v>1873</v>
      </c>
      <c r="R36" s="37" t="s">
        <v>2680</v>
      </c>
      <c r="S36" s="85">
        <v>42776</v>
      </c>
      <c r="T36" s="37" t="s">
        <v>2928</v>
      </c>
      <c r="U36" s="36">
        <v>44812</v>
      </c>
      <c r="V36" s="37"/>
      <c r="W36" s="86"/>
      <c r="X36" s="37"/>
      <c r="Y36" s="86"/>
      <c r="Z36" s="37"/>
      <c r="AA36" s="37"/>
      <c r="AB36" s="86"/>
      <c r="AC36" s="37"/>
      <c r="AD36" s="39">
        <v>0</v>
      </c>
      <c r="AE36" s="38" t="str">
        <f>(TRUNC(AD36/12))&amp;"년 "&amp;(ROUNDDOWN(MOD(AD36,12),0))&amp;"개월"</f>
        <v>0년 0개월</v>
      </c>
      <c r="AF36" s="39">
        <f ca="1">(재직자!$AL$1-K36)/30</f>
        <v>24.366666666666667</v>
      </c>
      <c r="AG36" s="39" t="str">
        <f ca="1">(TRUNC(AF36/12))&amp;"년 "&amp;(ROUNDDOWN(MOD(AF36,12),0))&amp;"개월"</f>
        <v>2년 0개월</v>
      </c>
      <c r="AH36" s="39">
        <f ca="1">+AD36+AF36</f>
        <v>24.366666666666667</v>
      </c>
      <c r="AI36" s="39" t="str">
        <f ca="1">(TRUNC(AH36/12))&amp;"년 "&amp;(ROUNDDOWN(MOD(AH36,12),0))&amp;"개월"</f>
        <v>2년 0개월</v>
      </c>
      <c r="AJ36" s="96" t="s">
        <v>4011</v>
      </c>
      <c r="AK36" s="86" t="s">
        <v>4012</v>
      </c>
      <c r="AL36" s="96" t="s">
        <v>4013</v>
      </c>
      <c r="AM36" s="86"/>
      <c r="AN36" s="37" t="s">
        <v>4014</v>
      </c>
      <c r="AO36" s="86"/>
      <c r="AP36" s="32"/>
      <c r="AQ36" s="32" t="s">
        <v>2190</v>
      </c>
      <c r="AR36" s="32"/>
      <c r="AS36" s="32"/>
      <c r="AT36" s="32"/>
      <c r="AU36" s="32"/>
      <c r="AV36" s="32"/>
      <c r="AW36" s="32"/>
      <c r="AX36" s="32"/>
      <c r="AY36" s="32"/>
      <c r="AZ36" s="32"/>
    </row>
    <row r="37" spans="1:52" ht="16.5" customHeight="1">
      <c r="A37" s="33" t="s">
        <v>3873</v>
      </c>
      <c r="B37" s="86">
        <v>230103</v>
      </c>
      <c r="C37" s="86" t="s">
        <v>3874</v>
      </c>
      <c r="D37" s="104" t="s">
        <v>3875</v>
      </c>
      <c r="E37" s="104">
        <v>2</v>
      </c>
      <c r="F37" s="86" t="s">
        <v>44</v>
      </c>
      <c r="G37" s="86"/>
      <c r="H37" s="80" t="s">
        <v>4132</v>
      </c>
      <c r="I37" s="86" t="s">
        <v>3296</v>
      </c>
      <c r="J37" s="86" t="s">
        <v>3876</v>
      </c>
      <c r="K37" s="36">
        <v>44928</v>
      </c>
      <c r="L37" s="36"/>
      <c r="M37" s="86"/>
      <c r="N37" s="37" t="s">
        <v>153</v>
      </c>
      <c r="O37" s="37" t="s">
        <v>3877</v>
      </c>
      <c r="P37" s="86" t="s">
        <v>3878</v>
      </c>
      <c r="Q37" s="86" t="s">
        <v>721</v>
      </c>
      <c r="R37" s="37" t="s">
        <v>209</v>
      </c>
      <c r="S37" s="86"/>
      <c r="T37" s="37"/>
      <c r="U37" s="86"/>
      <c r="V37" s="37"/>
      <c r="W37" s="86"/>
      <c r="X37" s="37"/>
      <c r="Y37" s="86"/>
      <c r="Z37" s="37"/>
      <c r="AA37" s="37"/>
      <c r="AB37" s="86"/>
      <c r="AC37" s="37"/>
      <c r="AD37" s="39">
        <v>66</v>
      </c>
      <c r="AE37" s="87" t="str">
        <f>(TRUNC(AD37/12))&amp;"년 "&amp;(ROUNDDOWN(MOD(AD37,12),0))&amp;"개월"</f>
        <v>5년 6개월</v>
      </c>
      <c r="AF37" s="39">
        <f ca="1">($AL$1-K37)/30</f>
        <v>39.533333333333331</v>
      </c>
      <c r="AG37" s="91" t="str">
        <f ca="1">(TRUNC(AF37/12))&amp;"년 "&amp;(ROUNDDOWN(MOD(AF37,12),0))&amp;"개월"</f>
        <v>3년 3개월</v>
      </c>
      <c r="AH37" s="39">
        <f ca="1">+AD37+AF37</f>
        <v>105.53333333333333</v>
      </c>
      <c r="AI37" s="39" t="str">
        <f ca="1">(TRUNC(AH37/12))&amp;"년 "&amp;(ROUNDDOWN(MOD(AH37,12),0))&amp;"개월"</f>
        <v>8년 9개월</v>
      </c>
      <c r="AJ37" s="96" t="s">
        <v>3879</v>
      </c>
      <c r="AK37" s="86" t="s">
        <v>3880</v>
      </c>
      <c r="AL37" s="96" t="s">
        <v>3881</v>
      </c>
      <c r="AM37" s="86"/>
      <c r="AN37" s="37" t="s">
        <v>3882</v>
      </c>
      <c r="AO37" s="86"/>
      <c r="AP37" s="32"/>
      <c r="AQ37" s="32" t="s">
        <v>2190</v>
      </c>
      <c r="AR37" s="32"/>
      <c r="AS37" s="32"/>
      <c r="AT37" s="32"/>
      <c r="AU37" s="32"/>
      <c r="AV37" s="32"/>
      <c r="AW37" s="32"/>
      <c r="AX37" s="32"/>
      <c r="AY37" s="32"/>
      <c r="AZ37" s="32"/>
    </row>
    <row r="38" spans="1:52" ht="16.5" customHeight="1">
      <c r="A38" s="33" t="s">
        <v>2000</v>
      </c>
      <c r="B38" s="86">
        <v>230304</v>
      </c>
      <c r="C38" s="86" t="s">
        <v>3909</v>
      </c>
      <c r="D38" s="104" t="s">
        <v>3910</v>
      </c>
      <c r="E38" s="104">
        <v>2</v>
      </c>
      <c r="F38" s="86" t="s">
        <v>44</v>
      </c>
      <c r="G38" s="86"/>
      <c r="H38" s="83" t="s">
        <v>3295</v>
      </c>
      <c r="I38" s="86" t="s">
        <v>3911</v>
      </c>
      <c r="J38" s="86" t="s">
        <v>3912</v>
      </c>
      <c r="K38" s="36">
        <v>45012</v>
      </c>
      <c r="L38" s="36"/>
      <c r="M38" s="86"/>
      <c r="N38" s="37" t="s">
        <v>146</v>
      </c>
      <c r="O38" s="37" t="s">
        <v>3913</v>
      </c>
      <c r="P38" s="86" t="s">
        <v>3914</v>
      </c>
      <c r="Q38" s="86" t="s">
        <v>1873</v>
      </c>
      <c r="R38" s="37" t="s">
        <v>2680</v>
      </c>
      <c r="S38" s="85">
        <v>41683</v>
      </c>
      <c r="T38" s="37" t="s">
        <v>569</v>
      </c>
      <c r="U38" s="85">
        <v>38567</v>
      </c>
      <c r="V38" s="37" t="s">
        <v>2928</v>
      </c>
      <c r="W38" s="85">
        <v>43007</v>
      </c>
      <c r="X38" s="37" t="s">
        <v>3915</v>
      </c>
      <c r="Y38" s="85">
        <v>42867</v>
      </c>
      <c r="Z38" s="37"/>
      <c r="AA38" s="37"/>
      <c r="AB38" s="86"/>
      <c r="AC38" s="37"/>
      <c r="AD38" s="39">
        <v>84</v>
      </c>
      <c r="AE38" s="87" t="str">
        <f>(TRUNC(AD38/12))&amp;"년 "&amp;(ROUNDDOWN(MOD(AD38,12),0))&amp;"개월"</f>
        <v>7년 0개월</v>
      </c>
      <c r="AF38" s="39">
        <f ca="1">($AL$1-K38)/30</f>
        <v>36.733333333333334</v>
      </c>
      <c r="AG38" s="91" t="str">
        <f ca="1">(TRUNC(AF38/12))&amp;"년 "&amp;(ROUNDDOWN(MOD(AF38,12),0))&amp;"개월"</f>
        <v>3년 0개월</v>
      </c>
      <c r="AH38" s="39">
        <f ca="1">+AD38+AF38</f>
        <v>120.73333333333333</v>
      </c>
      <c r="AI38" s="91" t="str">
        <f ca="1">(TRUNC(AH38/12))&amp;"년 "&amp;(ROUNDDOWN(MOD(AH38,12),0))&amp;"개월"</f>
        <v>10년 0개월</v>
      </c>
      <c r="AJ38" s="96" t="s">
        <v>3916</v>
      </c>
      <c r="AK38" s="86" t="s">
        <v>3917</v>
      </c>
      <c r="AL38" s="96" t="s">
        <v>3918</v>
      </c>
      <c r="AM38" s="86"/>
      <c r="AN38" s="37" t="s">
        <v>3919</v>
      </c>
      <c r="AO38" s="86"/>
      <c r="AP38" s="32"/>
      <c r="AQ38" s="32" t="s">
        <v>2190</v>
      </c>
      <c r="AR38" s="32"/>
      <c r="AS38" s="32"/>
      <c r="AT38" s="32"/>
      <c r="AU38" s="32"/>
      <c r="AV38" s="32"/>
      <c r="AW38" s="32"/>
      <c r="AX38" s="32"/>
      <c r="AY38" s="32"/>
      <c r="AZ38" s="32"/>
    </row>
    <row r="39" spans="1:52" ht="16.5" customHeight="1">
      <c r="A39" s="33" t="s">
        <v>876</v>
      </c>
      <c r="B39" s="86">
        <v>210504</v>
      </c>
      <c r="C39" s="81" t="s">
        <v>226</v>
      </c>
      <c r="D39" s="104" t="s">
        <v>3578</v>
      </c>
      <c r="E39" s="104">
        <v>2</v>
      </c>
      <c r="F39" s="86" t="s">
        <v>44</v>
      </c>
      <c r="G39" s="87"/>
      <c r="H39" s="83" t="s">
        <v>3295</v>
      </c>
      <c r="I39" s="82" t="s">
        <v>3296</v>
      </c>
      <c r="J39" s="86" t="s">
        <v>3579</v>
      </c>
      <c r="K39" s="36">
        <v>44329</v>
      </c>
      <c r="L39" s="36"/>
      <c r="M39" s="85"/>
      <c r="N39" s="37" t="s">
        <v>146</v>
      </c>
      <c r="O39" s="37" t="s">
        <v>3580</v>
      </c>
      <c r="P39" s="86" t="s">
        <v>1442</v>
      </c>
      <c r="Q39" s="86" t="s">
        <v>1873</v>
      </c>
      <c r="R39" s="37" t="s">
        <v>265</v>
      </c>
      <c r="S39" s="36">
        <v>39122</v>
      </c>
      <c r="T39" s="86"/>
      <c r="U39" s="85"/>
      <c r="V39" s="37"/>
      <c r="W39" s="85"/>
      <c r="X39" s="37"/>
      <c r="Y39" s="85"/>
      <c r="Z39" s="37"/>
      <c r="AA39" s="37"/>
      <c r="AB39" s="86"/>
      <c r="AC39" s="37"/>
      <c r="AD39" s="39"/>
      <c r="AE39" s="86" t="str">
        <f>(TRUNC(AD39/12))&amp;"년 "&amp;(ROUNDDOWN(MOD(AD39,12),0))&amp;"개월"</f>
        <v>0년 0개월</v>
      </c>
      <c r="AF39" s="39">
        <f ca="1">($AL$1-K39)/30</f>
        <v>59.5</v>
      </c>
      <c r="AG39" s="86" t="str">
        <f ca="1">(TRUNC(AF39/12))&amp;"년 "&amp;(ROUNDDOWN(MOD(AF39,12),0))&amp;"개월"</f>
        <v>4년 11개월</v>
      </c>
      <c r="AH39" s="39">
        <f ca="1">+AD39+AF39</f>
        <v>59.5</v>
      </c>
      <c r="AI39" s="39" t="str">
        <f ca="1">(TRUNC(AH39/12))&amp;"년 "&amp;(ROUNDDOWN(MOD(AH39,12),0))&amp;"개월"</f>
        <v>4년 11개월</v>
      </c>
      <c r="AJ39" s="96" t="s">
        <v>3581</v>
      </c>
      <c r="AK39" s="86" t="s">
        <v>3582</v>
      </c>
      <c r="AL39" s="50" t="s">
        <v>3583</v>
      </c>
      <c r="AM39" s="86"/>
      <c r="AN39" s="37" t="s">
        <v>3584</v>
      </c>
      <c r="AO39" s="54" t="s">
        <v>1675</v>
      </c>
      <c r="AP39" s="32"/>
      <c r="AQ39" s="32" t="s">
        <v>2190</v>
      </c>
      <c r="AR39" s="32"/>
      <c r="AS39" s="32"/>
      <c r="AT39" s="32"/>
      <c r="AU39" s="32"/>
      <c r="AV39" s="32"/>
      <c r="AW39" s="32"/>
      <c r="AX39" s="32"/>
      <c r="AY39" s="32"/>
      <c r="AZ39" s="32"/>
    </row>
    <row r="40" spans="1:52" ht="16.5" customHeight="1">
      <c r="A40" s="33" t="s">
        <v>3999</v>
      </c>
      <c r="B40" s="86">
        <v>240402</v>
      </c>
      <c r="C40" s="86" t="s">
        <v>226</v>
      </c>
      <c r="D40" s="104" t="s">
        <v>4000</v>
      </c>
      <c r="E40" s="104">
        <v>2</v>
      </c>
      <c r="F40" s="86" t="s">
        <v>51</v>
      </c>
      <c r="G40" s="86"/>
      <c r="H40" s="80" t="s">
        <v>3295</v>
      </c>
      <c r="I40" s="86" t="s">
        <v>3296</v>
      </c>
      <c r="J40" s="86" t="s">
        <v>4001</v>
      </c>
      <c r="K40" s="36">
        <v>45384</v>
      </c>
      <c r="L40" s="36"/>
      <c r="M40" s="86"/>
      <c r="N40" s="37" t="s">
        <v>153</v>
      </c>
      <c r="O40" s="37" t="s">
        <v>2570</v>
      </c>
      <c r="P40" s="86" t="s">
        <v>4002</v>
      </c>
      <c r="Q40" s="86" t="s">
        <v>4003</v>
      </c>
      <c r="R40" s="37" t="s">
        <v>209</v>
      </c>
      <c r="S40" s="36">
        <v>40961</v>
      </c>
      <c r="T40" s="37"/>
      <c r="U40" s="86"/>
      <c r="V40" s="37"/>
      <c r="W40" s="86"/>
      <c r="X40" s="37"/>
      <c r="Y40" s="86"/>
      <c r="Z40" s="37"/>
      <c r="AA40" s="37"/>
      <c r="AB40" s="86"/>
      <c r="AC40" s="37"/>
      <c r="AD40" s="39">
        <v>30.53</v>
      </c>
      <c r="AE40" s="87" t="str">
        <f>(TRUNC(AD40/12))&amp;"년 "&amp;(ROUNDDOWN(MOD(AD40,12),0))&amp;"개월"</f>
        <v>2년 6개월</v>
      </c>
      <c r="AF40" s="39">
        <f ca="1">(재직자!$AL$1-K40)/30</f>
        <v>24.333333333333332</v>
      </c>
      <c r="AG40" s="91" t="str">
        <f ca="1">(TRUNC(AF40/12))&amp;"년 "&amp;(ROUNDDOWN(MOD(AF40,12),0))&amp;"개월"</f>
        <v>2년 0개월</v>
      </c>
      <c r="AH40" s="39">
        <f ca="1">+AD40+AF40</f>
        <v>54.86333333333333</v>
      </c>
      <c r="AI40" s="39" t="str">
        <f ca="1">(TRUNC(AH40/12))&amp;"년 "&amp;(ROUNDDOWN(MOD(AH40,12),0))&amp;"개월"</f>
        <v>4년 6개월</v>
      </c>
      <c r="AJ40" s="96" t="s">
        <v>4004</v>
      </c>
      <c r="AK40" s="86" t="s">
        <v>4005</v>
      </c>
      <c r="AL40" s="96" t="s">
        <v>4006</v>
      </c>
      <c r="AM40" s="86"/>
      <c r="AN40" s="37" t="s">
        <v>4007</v>
      </c>
      <c r="AO40" s="86"/>
      <c r="AP40" s="32"/>
      <c r="AQ40" s="32" t="s">
        <v>2190</v>
      </c>
      <c r="AR40" s="32"/>
      <c r="AS40" s="32"/>
      <c r="AT40" s="32"/>
      <c r="AU40" s="32"/>
      <c r="AV40" s="32"/>
      <c r="AW40" s="32"/>
      <c r="AX40" s="32"/>
      <c r="AY40" s="32"/>
      <c r="AZ40" s="32"/>
    </row>
    <row r="41" spans="1:52" ht="16.5" customHeight="1">
      <c r="A41" s="33" t="s">
        <v>191</v>
      </c>
      <c r="B41" s="37">
        <v>220203</v>
      </c>
      <c r="C41" s="81" t="s">
        <v>226</v>
      </c>
      <c r="D41" s="104" t="s">
        <v>3705</v>
      </c>
      <c r="E41" s="104"/>
      <c r="F41" s="37" t="s">
        <v>44</v>
      </c>
      <c r="G41" s="87"/>
      <c r="H41" s="80" t="s">
        <v>3295</v>
      </c>
      <c r="I41" s="82" t="s">
        <v>463</v>
      </c>
      <c r="J41" s="37" t="s">
        <v>3706</v>
      </c>
      <c r="K41" s="36">
        <v>44595</v>
      </c>
      <c r="L41" s="36"/>
      <c r="M41" s="85"/>
      <c r="N41" s="37" t="s">
        <v>146</v>
      </c>
      <c r="O41" s="37" t="s">
        <v>3707</v>
      </c>
      <c r="P41" s="37" t="s">
        <v>3708</v>
      </c>
      <c r="Q41" s="37" t="s">
        <v>711</v>
      </c>
      <c r="R41" s="37" t="s">
        <v>265</v>
      </c>
      <c r="S41" s="85"/>
      <c r="T41" s="37"/>
      <c r="U41" s="85"/>
      <c r="V41" s="37" t="s">
        <v>3709</v>
      </c>
      <c r="W41" s="85">
        <v>40353</v>
      </c>
      <c r="X41" s="37" t="s">
        <v>3710</v>
      </c>
      <c r="Y41" s="85">
        <v>39009</v>
      </c>
      <c r="Z41" s="37"/>
      <c r="AA41" s="37"/>
      <c r="AB41" s="37"/>
      <c r="AC41" s="37"/>
      <c r="AD41" s="39">
        <v>102</v>
      </c>
      <c r="AE41" s="86" t="str">
        <f>(TRUNC(AD41/12))&amp;"년 "&amp;(ROUNDDOWN(MOD(AD41,12),0))&amp;"개월"</f>
        <v>8년 6개월</v>
      </c>
      <c r="AF41" s="39">
        <f ca="1">($AL$1-K41)/30</f>
        <v>50.633333333333333</v>
      </c>
      <c r="AG41" s="86" t="str">
        <f ca="1">(TRUNC(AF41/12))&amp;"년 "&amp;(ROUNDDOWN(MOD(AF41,12),0))&amp;"개월"</f>
        <v>4년 2개월</v>
      </c>
      <c r="AH41" s="39">
        <f ca="1">+AD41+AF41</f>
        <v>152.63333333333333</v>
      </c>
      <c r="AI41" s="39" t="str">
        <f ca="1">(TRUNC(AH41/12))&amp;"년 "&amp;(ROUNDDOWN(MOD(AH41,12),0))&amp;"개월"</f>
        <v>12년 8개월</v>
      </c>
      <c r="AJ41" s="44" t="s">
        <v>3711</v>
      </c>
      <c r="AK41" s="37" t="s">
        <v>3712</v>
      </c>
      <c r="AL41" s="50" t="s">
        <v>3713</v>
      </c>
      <c r="AM41" s="37"/>
      <c r="AN41" s="37" t="s">
        <v>3714</v>
      </c>
      <c r="AO41" s="54" t="s">
        <v>1491</v>
      </c>
      <c r="AP41" s="32"/>
      <c r="AQ41" s="32" t="s">
        <v>2190</v>
      </c>
      <c r="AR41" s="32"/>
      <c r="AS41" s="32"/>
      <c r="AT41" s="32"/>
      <c r="AU41" s="32"/>
      <c r="AV41" s="32"/>
      <c r="AW41" s="32"/>
      <c r="AX41" s="32"/>
      <c r="AY41" s="32"/>
      <c r="AZ41" s="32"/>
    </row>
    <row r="42" spans="1:52" ht="16.5" customHeight="1">
      <c r="A42" s="33" t="s">
        <v>2201</v>
      </c>
      <c r="B42" s="86">
        <v>240302</v>
      </c>
      <c r="C42" s="86" t="s">
        <v>226</v>
      </c>
      <c r="D42" s="104" t="s">
        <v>4015</v>
      </c>
      <c r="E42" s="104"/>
      <c r="F42" s="86" t="s">
        <v>51</v>
      </c>
      <c r="G42" s="86"/>
      <c r="H42" s="83" t="s">
        <v>3295</v>
      </c>
      <c r="I42" s="86" t="s">
        <v>3296</v>
      </c>
      <c r="J42" s="86" t="s">
        <v>4016</v>
      </c>
      <c r="K42" s="36">
        <v>45379</v>
      </c>
      <c r="L42" s="36"/>
      <c r="M42" s="86"/>
      <c r="N42" s="37" t="s">
        <v>153</v>
      </c>
      <c r="O42" s="37" t="s">
        <v>4017</v>
      </c>
      <c r="P42" s="86" t="s">
        <v>2582</v>
      </c>
      <c r="Q42" s="86" t="s">
        <v>1414</v>
      </c>
      <c r="R42" s="37" t="s">
        <v>209</v>
      </c>
      <c r="S42" s="36"/>
      <c r="T42" s="37"/>
      <c r="U42" s="86"/>
      <c r="V42" s="37"/>
      <c r="W42" s="86"/>
      <c r="X42" s="37"/>
      <c r="Y42" s="86"/>
      <c r="Z42" s="37"/>
      <c r="AA42" s="37"/>
      <c r="AB42" s="86"/>
      <c r="AC42" s="37"/>
      <c r="AD42" s="39">
        <v>0</v>
      </c>
      <c r="AE42" s="87" t="str">
        <f>(TRUNC(AD42/12))&amp;"년 "&amp;(ROUNDDOWN(MOD(AD42,12),0))&amp;"개월"</f>
        <v>0년 0개월</v>
      </c>
      <c r="AF42" s="39">
        <f ca="1">(재직자!$AL$1-K42)/30</f>
        <v>24.5</v>
      </c>
      <c r="AG42" s="91" t="str">
        <f ca="1">(TRUNC(AF42/12))&amp;"년 "&amp;(ROUNDDOWN(MOD(AF42,12),0))&amp;"개월"</f>
        <v>2년 0개월</v>
      </c>
      <c r="AH42" s="39">
        <f ca="1">+AD42+AF42</f>
        <v>24.5</v>
      </c>
      <c r="AI42" s="39" t="str">
        <f ca="1">(TRUNC(AH42/12))&amp;"년 "&amp;(ROUNDDOWN(MOD(AH42,12),0))&amp;"개월"</f>
        <v>2년 0개월</v>
      </c>
      <c r="AJ42" s="96" t="s">
        <v>4018</v>
      </c>
      <c r="AK42" s="86" t="s">
        <v>4019</v>
      </c>
      <c r="AL42" s="96" t="s">
        <v>4020</v>
      </c>
      <c r="AM42" s="86"/>
      <c r="AN42" s="37" t="s">
        <v>4021</v>
      </c>
      <c r="AO42" s="86"/>
      <c r="AP42" s="32"/>
      <c r="AQ42" s="32" t="s">
        <v>2190</v>
      </c>
      <c r="AR42" s="32"/>
      <c r="AS42" s="32"/>
      <c r="AT42" s="32"/>
      <c r="AU42" s="32"/>
      <c r="AV42" s="32"/>
      <c r="AW42" s="32"/>
      <c r="AX42" s="32"/>
      <c r="AY42" s="32"/>
      <c r="AZ42" s="32"/>
    </row>
    <row r="43" spans="1:52" ht="16.5" customHeight="1">
      <c r="A43" s="33" t="s">
        <v>49</v>
      </c>
      <c r="B43" s="81" t="s">
        <v>3175</v>
      </c>
      <c r="C43" s="81" t="s">
        <v>226</v>
      </c>
      <c r="D43" s="108" t="s">
        <v>3176</v>
      </c>
      <c r="E43" s="108">
        <v>2</v>
      </c>
      <c r="F43" s="82" t="s">
        <v>139</v>
      </c>
      <c r="G43" s="87" t="s">
        <v>3177</v>
      </c>
      <c r="H43" s="83" t="s">
        <v>3295</v>
      </c>
      <c r="I43" s="82" t="s">
        <v>463</v>
      </c>
      <c r="J43" s="84" t="s">
        <v>3178</v>
      </c>
      <c r="K43" s="85">
        <v>39722</v>
      </c>
      <c r="L43" s="36">
        <v>42826</v>
      </c>
      <c r="M43" s="144"/>
      <c r="N43" s="37" t="s">
        <v>153</v>
      </c>
      <c r="O43" s="37" t="s">
        <v>3179</v>
      </c>
      <c r="P43" s="87" t="s">
        <v>607</v>
      </c>
      <c r="Q43" s="87"/>
      <c r="R43" s="37" t="s">
        <v>209</v>
      </c>
      <c r="S43" s="36"/>
      <c r="T43" s="37" t="s">
        <v>275</v>
      </c>
      <c r="U43" s="86"/>
      <c r="V43" s="37"/>
      <c r="W43" s="86"/>
      <c r="X43" s="37"/>
      <c r="Y43" s="86"/>
      <c r="Z43" s="37"/>
      <c r="AA43" s="37"/>
      <c r="AB43" s="85"/>
      <c r="AC43" s="37"/>
      <c r="AD43" s="39">
        <v>132</v>
      </c>
      <c r="AE43" s="87" t="str">
        <f>(TRUNC(AD43/12))&amp;"년 "&amp;(ROUNDDOWN(MOD(AD43,12),0))&amp;"개월"</f>
        <v>11년 0개월</v>
      </c>
      <c r="AF43" s="39">
        <f ca="1">($AL$1-K43)/30</f>
        <v>213.06666666666666</v>
      </c>
      <c r="AG43" s="91" t="str">
        <f ca="1">(TRUNC(AF43/12))&amp;"년 "&amp;(ROUNDDOWN(MOD(AF43,12),0))&amp;"개월"</f>
        <v>17년 9개월</v>
      </c>
      <c r="AH43" s="39">
        <f ca="1">+AD43+AF43</f>
        <v>345.06666666666666</v>
      </c>
      <c r="AI43" s="91" t="str">
        <f ca="1">(TRUNC(AH43/12))&amp;"년 "&amp;(ROUNDDOWN(MOD(AH43,12),0))&amp;"개월"</f>
        <v>28년 9개월</v>
      </c>
      <c r="AJ43" s="88" t="s">
        <v>3180</v>
      </c>
      <c r="AK43" s="81" t="s">
        <v>3181</v>
      </c>
      <c r="AL43" s="50" t="s">
        <v>3182</v>
      </c>
      <c r="AM43" s="86">
        <v>2602</v>
      </c>
      <c r="AN43" s="37" t="s">
        <v>3183</v>
      </c>
      <c r="AO43" s="54" t="s">
        <v>1058</v>
      </c>
      <c r="AP43" s="32"/>
      <c r="AQ43" s="32" t="s">
        <v>2190</v>
      </c>
      <c r="AR43" s="32"/>
      <c r="AS43" s="32"/>
      <c r="AT43" s="32"/>
      <c r="AU43" s="32"/>
      <c r="AV43" s="32"/>
      <c r="AW43" s="32"/>
      <c r="AX43" s="32"/>
      <c r="AY43" s="32"/>
      <c r="AZ43" s="32"/>
    </row>
    <row r="44" spans="1:52" ht="16.5" customHeight="1">
      <c r="A44" s="33" t="s">
        <v>122</v>
      </c>
      <c r="B44" s="81" t="s">
        <v>3146</v>
      </c>
      <c r="C44" s="81" t="s">
        <v>226</v>
      </c>
      <c r="D44" s="108" t="s">
        <v>3147</v>
      </c>
      <c r="E44" s="108"/>
      <c r="F44" s="82" t="s">
        <v>3148</v>
      </c>
      <c r="G44" s="87" t="s">
        <v>3149</v>
      </c>
      <c r="H44" s="83" t="s">
        <v>3150</v>
      </c>
      <c r="I44" s="82"/>
      <c r="J44" s="86" t="s">
        <v>3151</v>
      </c>
      <c r="K44" s="86"/>
      <c r="L44" s="36"/>
      <c r="M44" s="85"/>
      <c r="N44" s="37" t="s">
        <v>153</v>
      </c>
      <c r="O44" s="37" t="s">
        <v>3152</v>
      </c>
      <c r="P44" s="86"/>
      <c r="Q44" s="86"/>
      <c r="R44" s="37" t="s">
        <v>209</v>
      </c>
      <c r="S44" s="36"/>
      <c r="T44" s="37"/>
      <c r="U44" s="86"/>
      <c r="V44" s="37"/>
      <c r="W44" s="86"/>
      <c r="X44" s="37"/>
      <c r="Y44" s="37"/>
      <c r="Z44" s="37"/>
      <c r="AA44" s="37"/>
      <c r="AB44" s="86"/>
      <c r="AC44" s="37"/>
      <c r="AD44" s="39"/>
      <c r="AE44" s="87" t="str">
        <f>(TRUNC(AD44/12))&amp;"년 "&amp;(ROUNDDOWN(MOD(AD44,12),0))&amp;"개월"</f>
        <v>0년 0개월</v>
      </c>
      <c r="AF44" s="39"/>
      <c r="AG44" s="86"/>
      <c r="AH44" s="39"/>
      <c r="AI44" s="86"/>
      <c r="AJ44" s="136" t="s">
        <v>3153</v>
      </c>
      <c r="AK44" s="81" t="s">
        <v>3154</v>
      </c>
      <c r="AL44" s="50" t="s">
        <v>3155</v>
      </c>
      <c r="AM44" s="37">
        <v>2600</v>
      </c>
      <c r="AN44" s="37" t="s">
        <v>3156</v>
      </c>
      <c r="AO44" s="54" t="s">
        <v>3157</v>
      </c>
      <c r="AP44" s="32"/>
      <c r="AQ44" s="32" t="s">
        <v>2190</v>
      </c>
      <c r="AR44" s="32"/>
      <c r="AS44" s="32"/>
      <c r="AT44" s="32"/>
      <c r="AU44" s="32"/>
      <c r="AV44" s="32"/>
      <c r="AW44" s="32"/>
      <c r="AX44" s="32"/>
      <c r="AY44" s="32"/>
      <c r="AZ44" s="32"/>
    </row>
    <row r="45" spans="1:52" ht="16.5" customHeight="1">
      <c r="A45" s="33" t="s">
        <v>66</v>
      </c>
      <c r="B45" s="81" t="s">
        <v>2494</v>
      </c>
      <c r="C45" s="81" t="s">
        <v>193</v>
      </c>
      <c r="D45" s="82" t="s">
        <v>2495</v>
      </c>
      <c r="E45" s="82">
        <v>1</v>
      </c>
      <c r="F45" s="82" t="s">
        <v>228</v>
      </c>
      <c r="G45" s="87" t="s">
        <v>2496</v>
      </c>
      <c r="H45" s="83" t="s">
        <v>4134</v>
      </c>
      <c r="I45" s="86" t="s">
        <v>3193</v>
      </c>
      <c r="J45" s="84" t="s">
        <v>2497</v>
      </c>
      <c r="K45" s="36">
        <v>40434</v>
      </c>
      <c r="L45" s="36">
        <v>44228</v>
      </c>
      <c r="M45" s="85"/>
      <c r="N45" s="37" t="s">
        <v>153</v>
      </c>
      <c r="O45" s="37" t="s">
        <v>1213</v>
      </c>
      <c r="P45" s="87" t="s">
        <v>552</v>
      </c>
      <c r="Q45" s="87"/>
      <c r="R45" s="37" t="s">
        <v>209</v>
      </c>
      <c r="S45" s="85">
        <v>36578</v>
      </c>
      <c r="T45" s="37" t="s">
        <v>2498</v>
      </c>
      <c r="U45" s="85">
        <v>35947</v>
      </c>
      <c r="V45" s="37"/>
      <c r="W45" s="85"/>
      <c r="X45" s="37"/>
      <c r="Y45" s="37"/>
      <c r="Z45" s="37" t="s">
        <v>199</v>
      </c>
      <c r="AA45" s="37" t="s">
        <v>211</v>
      </c>
      <c r="AB45" s="85">
        <v>40977</v>
      </c>
      <c r="AC45" s="37" t="s">
        <v>199</v>
      </c>
      <c r="AD45" s="39">
        <v>132</v>
      </c>
      <c r="AE45" s="87" t="str">
        <f>(TRUNC(AD45/12))&amp;"년 "&amp;(ROUNDDOWN(MOD(AD45,12),0))&amp;"개월"</f>
        <v>11년 0개월</v>
      </c>
      <c r="AF45" s="39">
        <f ca="1">(재직자!$AL$1-K45)/30</f>
        <v>189.33333333333334</v>
      </c>
      <c r="AG45" s="91" t="str">
        <f ca="1">(TRUNC(AF45/12))&amp;"년 "&amp;(ROUNDDOWN(MOD(AF45,12),0))&amp;"개월"</f>
        <v>15년 9개월</v>
      </c>
      <c r="AH45" s="39">
        <f ca="1">+AD45+AF45</f>
        <v>321.33333333333337</v>
      </c>
      <c r="AI45" s="39" t="str">
        <f ca="1">(TRUNC(AH45/12))&amp;"년 "&amp;(ROUNDDOWN(MOD(AH45,12),0))&amp;"개월"</f>
        <v>26년 9개월</v>
      </c>
      <c r="AJ45" s="66" t="s">
        <v>2499</v>
      </c>
      <c r="AK45" s="81" t="s">
        <v>2500</v>
      </c>
      <c r="AL45" s="96" t="s">
        <v>2501</v>
      </c>
      <c r="AM45" s="37">
        <v>2624</v>
      </c>
      <c r="AN45" s="37" t="s">
        <v>2502</v>
      </c>
      <c r="AO45" s="54" t="s">
        <v>2503</v>
      </c>
      <c r="AP45" s="32"/>
      <c r="AQ45" s="32" t="s">
        <v>2190</v>
      </c>
      <c r="AR45" s="32"/>
      <c r="AS45" s="32"/>
      <c r="AT45" s="32"/>
      <c r="AU45" s="32"/>
      <c r="AV45" s="32"/>
      <c r="AW45" s="32"/>
      <c r="AX45" s="32"/>
      <c r="AY45" s="32"/>
      <c r="AZ45" s="32"/>
    </row>
    <row r="46" spans="1:52" ht="16.5" customHeight="1">
      <c r="A46" s="33" t="s">
        <v>97</v>
      </c>
      <c r="B46" s="138" t="s">
        <v>3229</v>
      </c>
      <c r="C46" s="138" t="s">
        <v>193</v>
      </c>
      <c r="D46" s="154" t="s">
        <v>3230</v>
      </c>
      <c r="E46" s="154">
        <v>1</v>
      </c>
      <c r="F46" s="143" t="s">
        <v>88</v>
      </c>
      <c r="G46" s="139" t="s">
        <v>3231</v>
      </c>
      <c r="H46" s="83" t="s">
        <v>4134</v>
      </c>
      <c r="I46" s="144"/>
      <c r="J46" s="84" t="s">
        <v>3232</v>
      </c>
      <c r="K46" s="36">
        <v>40903</v>
      </c>
      <c r="L46" s="36">
        <v>43891</v>
      </c>
      <c r="M46" s="86"/>
      <c r="N46" s="37" t="s">
        <v>153</v>
      </c>
      <c r="O46" s="37" t="s">
        <v>3233</v>
      </c>
      <c r="P46" s="87" t="s">
        <v>319</v>
      </c>
      <c r="Q46" s="87"/>
      <c r="R46" s="37" t="s">
        <v>209</v>
      </c>
      <c r="S46" s="36">
        <v>40950</v>
      </c>
      <c r="T46" s="37"/>
      <c r="U46" s="85"/>
      <c r="V46" s="37" t="s">
        <v>576</v>
      </c>
      <c r="W46" s="85">
        <v>40695</v>
      </c>
      <c r="X46" s="37"/>
      <c r="Y46" s="86"/>
      <c r="Z46" s="37" t="s">
        <v>210</v>
      </c>
      <c r="AA46" s="37" t="s">
        <v>211</v>
      </c>
      <c r="AB46" s="85"/>
      <c r="AC46" s="37" t="s">
        <v>210</v>
      </c>
      <c r="AD46" s="39">
        <v>0</v>
      </c>
      <c r="AE46" s="87" t="str">
        <f>(TRUNC(AD46/12))&amp;"년 "&amp;(ROUNDDOWN(MOD(AD46,12),0))&amp;"개월"</f>
        <v>0년 0개월</v>
      </c>
      <c r="AF46" s="39">
        <f ca="1">($AL$1-K46)/30</f>
        <v>173.7</v>
      </c>
      <c r="AG46" s="91" t="str">
        <f ca="1">(TRUNC(AF46/12))&amp;"년 "&amp;(ROUNDDOWN(MOD(AF46,12),0))&amp;"개월"</f>
        <v>14년 5개월</v>
      </c>
      <c r="AH46" s="39">
        <f ca="1">+AD46+AF46</f>
        <v>173.7</v>
      </c>
      <c r="AI46" s="39" t="str">
        <f ca="1">(TRUNC(AH46/12))&amp;"년 "&amp;(ROUNDDOWN(MOD(AH46,12),0))&amp;"개월"</f>
        <v>14년 5개월</v>
      </c>
      <c r="AJ46" s="66" t="s">
        <v>3234</v>
      </c>
      <c r="AK46" s="81" t="s">
        <v>3235</v>
      </c>
      <c r="AL46" s="96" t="s">
        <v>3236</v>
      </c>
      <c r="AM46" s="37"/>
      <c r="AN46" s="37" t="s">
        <v>3237</v>
      </c>
      <c r="AO46" s="54" t="s">
        <v>3238</v>
      </c>
      <c r="AP46" s="32"/>
      <c r="AQ46" s="32" t="s">
        <v>2190</v>
      </c>
      <c r="AR46" s="32"/>
      <c r="AS46" s="32"/>
      <c r="AT46" s="32"/>
      <c r="AU46" s="32"/>
      <c r="AV46" s="32"/>
      <c r="AW46" s="32"/>
      <c r="AX46" s="32"/>
      <c r="AY46" s="32"/>
      <c r="AZ46" s="32"/>
    </row>
    <row r="47" spans="1:52" ht="16.5" customHeight="1">
      <c r="A47" s="33" t="s">
        <v>106</v>
      </c>
      <c r="B47" s="86">
        <v>120501</v>
      </c>
      <c r="C47" s="86" t="s">
        <v>193</v>
      </c>
      <c r="D47" s="104" t="s">
        <v>3256</v>
      </c>
      <c r="E47" s="104">
        <v>1</v>
      </c>
      <c r="F47" s="86" t="s">
        <v>88</v>
      </c>
      <c r="G47" s="87" t="s">
        <v>3257</v>
      </c>
      <c r="H47" s="83" t="s">
        <v>4134</v>
      </c>
      <c r="I47" s="86"/>
      <c r="J47" s="68" t="s">
        <v>3258</v>
      </c>
      <c r="K47" s="71">
        <v>41036</v>
      </c>
      <c r="L47" s="36">
        <v>43891</v>
      </c>
      <c r="M47" s="85"/>
      <c r="N47" s="146" t="s">
        <v>153</v>
      </c>
      <c r="O47" s="37" t="s">
        <v>220</v>
      </c>
      <c r="P47" s="147" t="s">
        <v>3259</v>
      </c>
      <c r="Q47" s="87"/>
      <c r="R47" s="37" t="s">
        <v>209</v>
      </c>
      <c r="S47" s="85"/>
      <c r="T47" s="37"/>
      <c r="U47" s="86"/>
      <c r="V47" s="37"/>
      <c r="W47" s="86"/>
      <c r="X47" s="37"/>
      <c r="Y47" s="86"/>
      <c r="Z47" s="37" t="s">
        <v>210</v>
      </c>
      <c r="AA47" s="86" t="s">
        <v>211</v>
      </c>
      <c r="AB47" s="86"/>
      <c r="AC47" s="37" t="s">
        <v>210</v>
      </c>
      <c r="AD47" s="39">
        <v>19</v>
      </c>
      <c r="AE47" s="86" t="str">
        <f>(TRUNC(AD47/12))&amp;"년 "&amp;(ROUNDDOWN(MOD(AD47,12),0))&amp;"개월"</f>
        <v>1년 7개월</v>
      </c>
      <c r="AF47" s="39">
        <f ca="1">($AL$1-K47)/30</f>
        <v>169.26666666666668</v>
      </c>
      <c r="AG47" s="86" t="str">
        <f ca="1">(TRUNC(AF47/12))&amp;"년 "&amp;(ROUNDDOWN(MOD(AF47,12),0))&amp;"개월"</f>
        <v>14년 1개월</v>
      </c>
      <c r="AH47" s="39">
        <f ca="1">+AD47+AF47</f>
        <v>188.26666666666668</v>
      </c>
      <c r="AI47" s="86" t="str">
        <f ca="1">(TRUNC(AH47/12))&amp;"년 "&amp;(ROUNDDOWN(MOD(AH47,12),0))&amp;"개월"</f>
        <v>15년 8개월</v>
      </c>
      <c r="AJ47" s="96" t="s">
        <v>3260</v>
      </c>
      <c r="AK47" s="86" t="s">
        <v>3261</v>
      </c>
      <c r="AL47" s="50" t="s">
        <v>3262</v>
      </c>
      <c r="AM47" s="37"/>
      <c r="AN47" s="37" t="s">
        <v>3263</v>
      </c>
      <c r="AO47" s="54" t="s">
        <v>3264</v>
      </c>
      <c r="AP47" s="32"/>
      <c r="AQ47" s="32" t="s">
        <v>2190</v>
      </c>
      <c r="AR47" s="32"/>
      <c r="AS47" s="32"/>
      <c r="AT47" s="32"/>
      <c r="AU47" s="32"/>
      <c r="AV47" s="32"/>
      <c r="AW47" s="32"/>
      <c r="AX47" s="32"/>
      <c r="AY47" s="32"/>
      <c r="AZ47" s="32"/>
    </row>
    <row r="48" spans="1:52" ht="16.5" customHeight="1">
      <c r="A48" s="33" t="s">
        <v>643</v>
      </c>
      <c r="B48" s="86">
        <v>220107</v>
      </c>
      <c r="C48" s="81" t="s">
        <v>2051</v>
      </c>
      <c r="D48" s="104" t="s">
        <v>3698</v>
      </c>
      <c r="E48" s="104">
        <v>1</v>
      </c>
      <c r="F48" s="86" t="s">
        <v>139</v>
      </c>
      <c r="G48" s="87"/>
      <c r="H48" s="83" t="s">
        <v>4134</v>
      </c>
      <c r="I48" s="82"/>
      <c r="J48" s="86" t="s">
        <v>3699</v>
      </c>
      <c r="K48" s="85">
        <v>44578</v>
      </c>
      <c r="L48" s="36"/>
      <c r="M48" s="85"/>
      <c r="N48" s="37" t="s">
        <v>153</v>
      </c>
      <c r="O48" s="37" t="s">
        <v>1132</v>
      </c>
      <c r="P48" s="86" t="s">
        <v>499</v>
      </c>
      <c r="Q48" s="86" t="s">
        <v>1134</v>
      </c>
      <c r="R48" s="37" t="s">
        <v>209</v>
      </c>
      <c r="S48" s="85">
        <v>33467</v>
      </c>
      <c r="T48" s="37" t="s">
        <v>275</v>
      </c>
      <c r="U48" s="36">
        <v>35002</v>
      </c>
      <c r="V48" s="37"/>
      <c r="W48" s="85"/>
      <c r="X48" s="37"/>
      <c r="Y48" s="85"/>
      <c r="Z48" s="37"/>
      <c r="AA48" s="37"/>
      <c r="AB48" s="86"/>
      <c r="AC48" s="37"/>
      <c r="AD48" s="39">
        <v>339</v>
      </c>
      <c r="AE48" s="86" t="str">
        <f>(TRUNC(AD48/12))&amp;"년 "&amp;(ROUNDDOWN(MOD(AD48,12),0))&amp;"개월"</f>
        <v>28년 3개월</v>
      </c>
      <c r="AF48" s="39">
        <f ca="1">($AL$1-K48)/30</f>
        <v>51.2</v>
      </c>
      <c r="AG48" s="86" t="str">
        <f ca="1">(TRUNC(AF48/12))&amp;"년 "&amp;(ROUNDDOWN(MOD(AF48,12),0))&amp;"개월"</f>
        <v>4년 3개월</v>
      </c>
      <c r="AH48" s="39">
        <f ca="1">+AD48+AF48</f>
        <v>390.2</v>
      </c>
      <c r="AI48" s="39" t="str">
        <f ca="1">(TRUNC(AH48/12))&amp;"년 "&amp;(ROUNDDOWN(MOD(AH48,12),0))&amp;"개월"</f>
        <v>32년 6개월</v>
      </c>
      <c r="AJ48" s="96" t="s">
        <v>3700</v>
      </c>
      <c r="AK48" s="86" t="s">
        <v>3701</v>
      </c>
      <c r="AL48" s="50" t="s">
        <v>3702</v>
      </c>
      <c r="AM48" s="37"/>
      <c r="AN48" s="37" t="s">
        <v>3703</v>
      </c>
      <c r="AO48" s="54" t="s">
        <v>3704</v>
      </c>
      <c r="AP48" s="32"/>
      <c r="AQ48" s="32" t="s">
        <v>2190</v>
      </c>
      <c r="AR48" s="32"/>
      <c r="AS48" s="32"/>
      <c r="AT48" s="32"/>
      <c r="AU48" s="32"/>
      <c r="AV48" s="32"/>
      <c r="AW48" s="32"/>
      <c r="AX48" s="32"/>
      <c r="AY48" s="32"/>
      <c r="AZ48" s="32"/>
    </row>
    <row r="49" spans="1:52" ht="16.5" customHeight="1">
      <c r="A49" s="33" t="s">
        <v>2218</v>
      </c>
      <c r="B49" s="86">
        <v>230203</v>
      </c>
      <c r="C49" s="86" t="s">
        <v>193</v>
      </c>
      <c r="D49" s="104" t="s">
        <v>3894</v>
      </c>
      <c r="E49" s="104">
        <v>1</v>
      </c>
      <c r="F49" s="86" t="s">
        <v>51</v>
      </c>
      <c r="G49" s="86"/>
      <c r="H49" s="80" t="s">
        <v>2634</v>
      </c>
      <c r="I49" s="86"/>
      <c r="J49" s="86" t="s">
        <v>3895</v>
      </c>
      <c r="K49" s="85">
        <v>44963</v>
      </c>
      <c r="L49" s="36"/>
      <c r="M49" s="86"/>
      <c r="N49" s="37" t="s">
        <v>153</v>
      </c>
      <c r="O49" s="37" t="s">
        <v>982</v>
      </c>
      <c r="P49" s="86" t="s">
        <v>3896</v>
      </c>
      <c r="Q49" s="86" t="s">
        <v>711</v>
      </c>
      <c r="R49" s="37" t="s">
        <v>209</v>
      </c>
      <c r="S49" s="85">
        <v>43510</v>
      </c>
      <c r="T49" s="37" t="s">
        <v>275</v>
      </c>
      <c r="U49" s="100">
        <v>43245</v>
      </c>
      <c r="V49" s="37" t="s">
        <v>2859</v>
      </c>
      <c r="W49" s="85">
        <v>45275</v>
      </c>
      <c r="X49" s="37"/>
      <c r="Y49" s="86"/>
      <c r="Z49" s="37"/>
      <c r="AA49" s="37"/>
      <c r="AB49" s="86"/>
      <c r="AC49" s="37"/>
      <c r="AD49" s="39">
        <v>44</v>
      </c>
      <c r="AE49" s="87" t="str">
        <f>(TRUNC(AD49/12))&amp;"년 "&amp;(ROUNDDOWN(MOD(AD49,12),0))&amp;"개월"</f>
        <v>3년 8개월</v>
      </c>
      <c r="AF49" s="39">
        <f ca="1">($AL$1-K49)/30</f>
        <v>38.366666666666667</v>
      </c>
      <c r="AG49" s="91" t="str">
        <f ca="1">(TRUNC(AF49/12))&amp;"년 "&amp;(ROUNDDOWN(MOD(AF49,12),0))&amp;"개월"</f>
        <v>3년 2개월</v>
      </c>
      <c r="AH49" s="39">
        <f ca="1">+AD49+AF49</f>
        <v>82.366666666666674</v>
      </c>
      <c r="AI49" s="91" t="str">
        <f ca="1">(TRUNC(AH49/12))&amp;"년 "&amp;(ROUNDDOWN(MOD(AH49,12),0))&amp;"개월"</f>
        <v>6년 10개월</v>
      </c>
      <c r="AJ49" s="96" t="s">
        <v>3897</v>
      </c>
      <c r="AK49" s="86" t="s">
        <v>3898</v>
      </c>
      <c r="AL49" s="96" t="s">
        <v>3899</v>
      </c>
      <c r="AM49" s="86"/>
      <c r="AN49" s="37" t="s">
        <v>3900</v>
      </c>
      <c r="AO49" s="86"/>
      <c r="AP49" s="32"/>
      <c r="AQ49" s="32" t="s">
        <v>2190</v>
      </c>
      <c r="AR49" s="32"/>
      <c r="AS49" s="32"/>
      <c r="AT49" s="32"/>
      <c r="AU49" s="32"/>
      <c r="AV49" s="32"/>
      <c r="AW49" s="32"/>
      <c r="AX49" s="32"/>
      <c r="AY49" s="32"/>
      <c r="AZ49" s="32"/>
    </row>
    <row r="50" spans="1:52" ht="16.5" customHeight="1">
      <c r="A50" s="33" t="s">
        <v>2164</v>
      </c>
      <c r="B50" s="86">
        <v>221103</v>
      </c>
      <c r="C50" s="86" t="s">
        <v>3839</v>
      </c>
      <c r="D50" s="104" t="s">
        <v>3840</v>
      </c>
      <c r="E50" s="104">
        <v>2</v>
      </c>
      <c r="F50" s="86" t="s">
        <v>34</v>
      </c>
      <c r="G50" s="86"/>
      <c r="H50" s="83" t="s">
        <v>2634</v>
      </c>
      <c r="I50" s="86" t="s">
        <v>3841</v>
      </c>
      <c r="J50" s="103" t="s">
        <v>3842</v>
      </c>
      <c r="K50" s="85">
        <v>44886</v>
      </c>
      <c r="L50" s="85"/>
      <c r="M50" s="86"/>
      <c r="N50" s="86" t="s">
        <v>146</v>
      </c>
      <c r="O50" s="86" t="s">
        <v>3843</v>
      </c>
      <c r="P50" s="86" t="s">
        <v>3844</v>
      </c>
      <c r="Q50" s="86" t="s">
        <v>964</v>
      </c>
      <c r="R50" s="86" t="s">
        <v>265</v>
      </c>
      <c r="S50" s="85">
        <v>35461</v>
      </c>
      <c r="T50" s="86" t="s">
        <v>2004</v>
      </c>
      <c r="U50" s="85">
        <v>37536</v>
      </c>
      <c r="V50" s="86"/>
      <c r="W50" s="86"/>
      <c r="X50" s="86"/>
      <c r="Y50" s="86"/>
      <c r="Z50" s="86"/>
      <c r="AA50" s="86"/>
      <c r="AB50" s="86"/>
      <c r="AC50" s="86"/>
      <c r="AD50" s="91">
        <v>193</v>
      </c>
      <c r="AE50" s="87" t="str">
        <f>(TRUNC(AD50/12))&amp;"년 "&amp;(ROUNDDOWN(MOD(AD50,12),0))&amp;"개월"</f>
        <v>16년 1개월</v>
      </c>
      <c r="AF50" s="91">
        <f ca="1">($AL$1-K50)/30</f>
        <v>40.93333333333333</v>
      </c>
      <c r="AG50" s="91" t="str">
        <f ca="1">(TRUNC(AF50/12))&amp;"년 "&amp;(ROUNDDOWN(MOD(AF50,12),0))&amp;"개월"</f>
        <v>3년 4개월</v>
      </c>
      <c r="AH50" s="91">
        <f ca="1">+AD50+AF50</f>
        <v>233.93333333333334</v>
      </c>
      <c r="AI50" s="91" t="str">
        <f ca="1">(TRUNC(AH50/12))&amp;"년 "&amp;(ROUNDDOWN(MOD(AH50,12),0))&amp;"개월"</f>
        <v>19년 5개월</v>
      </c>
      <c r="AJ50" s="96" t="s">
        <v>3845</v>
      </c>
      <c r="AK50" s="86" t="s">
        <v>3846</v>
      </c>
      <c r="AL50" s="96" t="s">
        <v>3847</v>
      </c>
      <c r="AM50" s="86"/>
      <c r="AN50" s="86" t="s">
        <v>3848</v>
      </c>
      <c r="AO50" s="86"/>
      <c r="AP50" s="32"/>
      <c r="AQ50" s="32" t="s">
        <v>2190</v>
      </c>
      <c r="AR50" s="32"/>
      <c r="AS50" s="32"/>
      <c r="AT50" s="32"/>
      <c r="AU50" s="32"/>
      <c r="AV50" s="32"/>
      <c r="AW50" s="32"/>
      <c r="AX50" s="32"/>
      <c r="AY50" s="32"/>
      <c r="AZ50" s="32"/>
    </row>
    <row r="51" spans="1:52" ht="16.5" customHeight="1">
      <c r="A51" s="33" t="s">
        <v>32</v>
      </c>
      <c r="B51" s="81" t="s">
        <v>3158</v>
      </c>
      <c r="C51" s="81" t="s">
        <v>2667</v>
      </c>
      <c r="D51" s="108" t="s">
        <v>3159</v>
      </c>
      <c r="E51" s="108"/>
      <c r="F51" s="82" t="s">
        <v>472</v>
      </c>
      <c r="G51" s="87" t="s">
        <v>3160</v>
      </c>
      <c r="H51" s="83" t="s">
        <v>4134</v>
      </c>
      <c r="I51" s="86"/>
      <c r="J51" s="84" t="s">
        <v>3161</v>
      </c>
      <c r="K51" s="85">
        <v>37987</v>
      </c>
      <c r="L51" s="36">
        <v>44562</v>
      </c>
      <c r="M51" s="85"/>
      <c r="N51" s="37" t="s">
        <v>196</v>
      </c>
      <c r="O51" s="37" t="s">
        <v>3152</v>
      </c>
      <c r="P51" s="87" t="s">
        <v>457</v>
      </c>
      <c r="Q51" s="87"/>
      <c r="R51" s="37" t="s">
        <v>198</v>
      </c>
      <c r="S51" s="85">
        <v>37677</v>
      </c>
      <c r="T51" s="37" t="s">
        <v>275</v>
      </c>
      <c r="U51" s="85">
        <v>37529</v>
      </c>
      <c r="V51" s="37" t="s">
        <v>526</v>
      </c>
      <c r="W51" s="85">
        <v>37590</v>
      </c>
      <c r="X51" s="37"/>
      <c r="Y51" s="86"/>
      <c r="Z51" s="37" t="s">
        <v>199</v>
      </c>
      <c r="AA51" s="37" t="s">
        <v>211</v>
      </c>
      <c r="AB51" s="85">
        <v>40756</v>
      </c>
      <c r="AC51" s="37" t="s">
        <v>199</v>
      </c>
      <c r="AD51" s="39">
        <v>10</v>
      </c>
      <c r="AE51" s="87" t="str">
        <f>(TRUNC(AD51/12))&amp;"년 "&amp;(ROUNDDOWN(MOD(AD51,12),0))&amp;"개월"</f>
        <v>0년 10개월</v>
      </c>
      <c r="AF51" s="39">
        <f ca="1">($AL$1-K51)/30</f>
        <v>270.89999999999998</v>
      </c>
      <c r="AG51" s="91" t="str">
        <f ca="1">(TRUNC(AF51/12))&amp;"년 "&amp;(ROUNDDOWN(MOD(AF51,12),0))&amp;"개월"</f>
        <v>22년 6개월</v>
      </c>
      <c r="AH51" s="39">
        <f ca="1">+AD51+AF51</f>
        <v>280.89999999999998</v>
      </c>
      <c r="AI51" s="91" t="str">
        <f ca="1">(TRUNC(AH51/12))&amp;"년 "&amp;(ROUNDDOWN(MOD(AH51,12),0))&amp;"개월"</f>
        <v>23년 4개월</v>
      </c>
      <c r="AJ51" s="66" t="s">
        <v>3162</v>
      </c>
      <c r="AK51" s="81" t="s">
        <v>3163</v>
      </c>
      <c r="AL51" s="50" t="s">
        <v>3164</v>
      </c>
      <c r="AM51" s="37"/>
      <c r="AN51" s="37" t="s">
        <v>3165</v>
      </c>
      <c r="AO51" s="54" t="s">
        <v>852</v>
      </c>
      <c r="AP51" s="32"/>
      <c r="AQ51" s="32" t="s">
        <v>2190</v>
      </c>
      <c r="AR51" s="32"/>
      <c r="AS51" s="32"/>
      <c r="AT51" s="32"/>
      <c r="AU51" s="32"/>
      <c r="AV51" s="32"/>
      <c r="AW51" s="32"/>
      <c r="AX51" s="32"/>
      <c r="AY51" s="32"/>
      <c r="AZ51" s="32"/>
    </row>
    <row r="52" spans="1:52" ht="16.5" customHeight="1">
      <c r="A52" s="33" t="s">
        <v>92</v>
      </c>
      <c r="B52" s="81" t="s">
        <v>3219</v>
      </c>
      <c r="C52" s="81" t="s">
        <v>193</v>
      </c>
      <c r="D52" s="108" t="s">
        <v>3220</v>
      </c>
      <c r="E52" s="108"/>
      <c r="F52" s="82" t="s">
        <v>34</v>
      </c>
      <c r="G52" s="87" t="s">
        <v>3221</v>
      </c>
      <c r="H52" s="80" t="s">
        <v>4134</v>
      </c>
      <c r="I52" s="86"/>
      <c r="J52" s="84" t="s">
        <v>3222</v>
      </c>
      <c r="K52" s="36">
        <v>40637</v>
      </c>
      <c r="L52" s="36">
        <v>43891</v>
      </c>
      <c r="M52" s="85"/>
      <c r="N52" s="37" t="s">
        <v>153</v>
      </c>
      <c r="O52" s="37" t="s">
        <v>3223</v>
      </c>
      <c r="P52" s="87" t="s">
        <v>457</v>
      </c>
      <c r="Q52" s="87"/>
      <c r="R52" s="37" t="s">
        <v>209</v>
      </c>
      <c r="S52" s="36">
        <v>40416</v>
      </c>
      <c r="T52" s="37"/>
      <c r="U52" s="85"/>
      <c r="V52" s="37" t="s">
        <v>405</v>
      </c>
      <c r="W52" s="85">
        <v>39678</v>
      </c>
      <c r="X52" s="37"/>
      <c r="Y52" s="86"/>
      <c r="Z52" s="37" t="s">
        <v>210</v>
      </c>
      <c r="AA52" s="37" t="s">
        <v>211</v>
      </c>
      <c r="AB52" s="85"/>
      <c r="AC52" s="37" t="s">
        <v>3224</v>
      </c>
      <c r="AD52" s="39">
        <v>0</v>
      </c>
      <c r="AE52" s="87" t="str">
        <f>(TRUNC(AD52/12))&amp;"년 "&amp;(ROUNDDOWN(MOD(AD52,12),0))&amp;"개월"</f>
        <v>0년 0개월</v>
      </c>
      <c r="AF52" s="39">
        <f ca="1">($AL$1-K52)/30</f>
        <v>182.56666666666666</v>
      </c>
      <c r="AG52" s="91" t="str">
        <f ca="1">(TRUNC(AF52/12))&amp;"년 "&amp;(ROUNDDOWN(MOD(AF52,12),0))&amp;"개월"</f>
        <v>15년 2개월</v>
      </c>
      <c r="AH52" s="39">
        <f ca="1">+AD52+AF52</f>
        <v>182.56666666666666</v>
      </c>
      <c r="AI52" s="39" t="str">
        <f ca="1">(TRUNC(AH52/12))&amp;"년 "&amp;(ROUNDDOWN(MOD(AH52,12),0))&amp;"개월"</f>
        <v>15년 2개월</v>
      </c>
      <c r="AJ52" s="88" t="s">
        <v>3225</v>
      </c>
      <c r="AK52" s="81" t="s">
        <v>3226</v>
      </c>
      <c r="AL52" s="50" t="s">
        <v>3227</v>
      </c>
      <c r="AM52" s="86">
        <v>2627</v>
      </c>
      <c r="AN52" s="37" t="s">
        <v>3228</v>
      </c>
      <c r="AO52" s="54">
        <v>4.03</v>
      </c>
      <c r="AP52" s="32"/>
      <c r="AQ52" s="32" t="s">
        <v>2190</v>
      </c>
      <c r="AR52" s="32"/>
      <c r="AS52" s="32"/>
      <c r="AT52" s="32"/>
      <c r="AU52" s="32"/>
      <c r="AV52" s="32"/>
      <c r="AW52" s="32"/>
      <c r="AX52" s="32"/>
      <c r="AY52" s="32"/>
      <c r="AZ52" s="32"/>
    </row>
    <row r="53" spans="1:52" ht="16.5" customHeight="1">
      <c r="A53" s="33" t="s">
        <v>100</v>
      </c>
      <c r="B53" s="81" t="s">
        <v>3239</v>
      </c>
      <c r="C53" s="81" t="s">
        <v>193</v>
      </c>
      <c r="D53" s="108" t="s">
        <v>3240</v>
      </c>
      <c r="E53" s="108"/>
      <c r="F53" s="82" t="s">
        <v>88</v>
      </c>
      <c r="G53" s="87" t="s">
        <v>3241</v>
      </c>
      <c r="H53" s="83" t="s">
        <v>4134</v>
      </c>
      <c r="I53" s="86"/>
      <c r="J53" s="84" t="s">
        <v>3242</v>
      </c>
      <c r="K53" s="36">
        <v>40910</v>
      </c>
      <c r="L53" s="36">
        <v>43891</v>
      </c>
      <c r="M53" s="85"/>
      <c r="N53" s="37" t="s">
        <v>3109</v>
      </c>
      <c r="O53" s="37" t="s">
        <v>355</v>
      </c>
      <c r="P53" s="87" t="s">
        <v>1281</v>
      </c>
      <c r="Q53" s="87"/>
      <c r="R53" s="37" t="s">
        <v>209</v>
      </c>
      <c r="S53" s="137">
        <v>45343</v>
      </c>
      <c r="T53" s="37"/>
      <c r="U53" s="36"/>
      <c r="V53" s="37" t="s">
        <v>569</v>
      </c>
      <c r="W53" s="85">
        <v>37375</v>
      </c>
      <c r="X53" s="37"/>
      <c r="Y53" s="86"/>
      <c r="Z53" s="37" t="s">
        <v>3243</v>
      </c>
      <c r="AA53" s="37" t="s">
        <v>211</v>
      </c>
      <c r="AB53" s="85"/>
      <c r="AC53" s="37" t="s">
        <v>199</v>
      </c>
      <c r="AD53" s="39">
        <v>0</v>
      </c>
      <c r="AE53" s="87" t="str">
        <f>(TRUNC(AD53/12))&amp;"년 "&amp;(ROUNDDOWN(MOD(AD53,12),0))&amp;"개월"</f>
        <v>0년 0개월</v>
      </c>
      <c r="AF53" s="39">
        <f ca="1">($AL$1-K53)/30</f>
        <v>173.46666666666667</v>
      </c>
      <c r="AG53" s="91" t="str">
        <f ca="1">(TRUNC(AF53/12))&amp;"년 "&amp;(ROUNDDOWN(MOD(AF53,12),0))&amp;"개월"</f>
        <v>14년 5개월</v>
      </c>
      <c r="AH53" s="39">
        <f ca="1">+AD53+AF53</f>
        <v>173.46666666666667</v>
      </c>
      <c r="AI53" s="39" t="str">
        <f ca="1">(TRUNC(AH53/12))&amp;"년 "&amp;(ROUNDDOWN(MOD(AH53,12),0))&amp;"개월"</f>
        <v>14년 5개월</v>
      </c>
      <c r="AJ53" s="66" t="s">
        <v>3244</v>
      </c>
      <c r="AK53" s="81" t="s">
        <v>3245</v>
      </c>
      <c r="AL53" s="50" t="s">
        <v>3246</v>
      </c>
      <c r="AM53" s="37">
        <v>2624</v>
      </c>
      <c r="AN53" s="37" t="s">
        <v>3247</v>
      </c>
      <c r="AO53" s="54">
        <v>10.09</v>
      </c>
      <c r="AP53" s="32"/>
      <c r="AQ53" s="32" t="s">
        <v>2190</v>
      </c>
      <c r="AR53" s="32"/>
      <c r="AS53" s="32"/>
      <c r="AT53" s="32"/>
      <c r="AU53" s="32"/>
      <c r="AV53" s="32"/>
      <c r="AW53" s="32"/>
      <c r="AX53" s="32"/>
      <c r="AY53" s="32"/>
      <c r="AZ53" s="32"/>
    </row>
    <row r="54" spans="1:52" ht="16.5" customHeight="1">
      <c r="A54" s="33" t="s">
        <v>109</v>
      </c>
      <c r="B54" s="86">
        <v>130102</v>
      </c>
      <c r="C54" s="68" t="s">
        <v>193</v>
      </c>
      <c r="D54" s="104" t="s">
        <v>3265</v>
      </c>
      <c r="E54" s="104"/>
      <c r="F54" s="86" t="s">
        <v>228</v>
      </c>
      <c r="G54" s="87" t="s">
        <v>3266</v>
      </c>
      <c r="H54" s="83" t="s">
        <v>4134</v>
      </c>
      <c r="I54" s="82"/>
      <c r="J54" s="86" t="s">
        <v>3267</v>
      </c>
      <c r="K54" s="36">
        <v>41284</v>
      </c>
      <c r="L54" s="36">
        <v>43313</v>
      </c>
      <c r="M54" s="85"/>
      <c r="N54" s="37" t="s">
        <v>153</v>
      </c>
      <c r="O54" s="37" t="s">
        <v>1132</v>
      </c>
      <c r="P54" s="86" t="s">
        <v>1261</v>
      </c>
      <c r="Q54" s="86"/>
      <c r="R54" s="37" t="s">
        <v>209</v>
      </c>
      <c r="S54" s="85">
        <v>37127</v>
      </c>
      <c r="T54" s="37" t="s">
        <v>275</v>
      </c>
      <c r="U54" s="85">
        <v>39678</v>
      </c>
      <c r="V54" s="37" t="s">
        <v>526</v>
      </c>
      <c r="W54" s="85">
        <v>37349</v>
      </c>
      <c r="X54" s="37"/>
      <c r="Y54" s="86"/>
      <c r="Z54" s="37" t="s">
        <v>199</v>
      </c>
      <c r="AA54" s="37"/>
      <c r="AB54" s="86"/>
      <c r="AC54" s="37" t="s">
        <v>199</v>
      </c>
      <c r="AD54" s="39">
        <v>126</v>
      </c>
      <c r="AE54" s="86" t="str">
        <f>(TRUNC(AD54/12))&amp;"년 "&amp;(ROUNDDOWN(MOD(AD54,12),0))&amp;"개월"</f>
        <v>10년 6개월</v>
      </c>
      <c r="AF54" s="39">
        <f ca="1">($AL$1-K54)/30</f>
        <v>161</v>
      </c>
      <c r="AG54" s="86" t="str">
        <f ca="1">(TRUNC(AF54/12))&amp;"년 "&amp;(ROUNDDOWN(MOD(AF54,12),0))&amp;"개월"</f>
        <v>13년 5개월</v>
      </c>
      <c r="AH54" s="39">
        <f ca="1">+AD54+AF54</f>
        <v>287</v>
      </c>
      <c r="AI54" s="86" t="str">
        <f ca="1">(TRUNC(AH54/12))&amp;"년 "&amp;(ROUNDDOWN(MOD(AH54,12),0))&amp;"개월"</f>
        <v>23년 11개월</v>
      </c>
      <c r="AJ54" s="96" t="s">
        <v>3268</v>
      </c>
      <c r="AK54" s="86" t="s">
        <v>3269</v>
      </c>
      <c r="AL54" s="50" t="s">
        <v>3270</v>
      </c>
      <c r="AM54" s="37"/>
      <c r="AN54" s="37" t="s">
        <v>3271</v>
      </c>
      <c r="AO54" s="54" t="s">
        <v>3272</v>
      </c>
      <c r="AP54" s="32"/>
      <c r="AQ54" s="32" t="s">
        <v>2190</v>
      </c>
      <c r="AR54" s="32"/>
      <c r="AS54" s="32"/>
      <c r="AT54" s="32"/>
      <c r="AU54" s="32"/>
      <c r="AV54" s="32"/>
      <c r="AW54" s="32"/>
      <c r="AX54" s="32"/>
      <c r="AY54" s="32"/>
      <c r="AZ54" s="32"/>
    </row>
    <row r="55" spans="1:52" ht="16.5" customHeight="1">
      <c r="A55" s="33" t="s">
        <v>112</v>
      </c>
      <c r="B55" s="162">
        <v>130209</v>
      </c>
      <c r="C55" s="86" t="s">
        <v>193</v>
      </c>
      <c r="D55" s="109" t="s">
        <v>3273</v>
      </c>
      <c r="E55" s="109"/>
      <c r="F55" s="68" t="s">
        <v>88</v>
      </c>
      <c r="G55" s="69" t="s">
        <v>3274</v>
      </c>
      <c r="H55" s="140" t="s">
        <v>4134</v>
      </c>
      <c r="I55" s="68"/>
      <c r="J55" s="68" t="s">
        <v>3275</v>
      </c>
      <c r="K55" s="71">
        <v>41330</v>
      </c>
      <c r="L55" s="71">
        <v>44228</v>
      </c>
      <c r="M55" s="85"/>
      <c r="N55" s="68" t="s">
        <v>153</v>
      </c>
      <c r="O55" s="68" t="s">
        <v>1072</v>
      </c>
      <c r="P55" s="68" t="s">
        <v>413</v>
      </c>
      <c r="Q55" s="68"/>
      <c r="R55" s="68" t="s">
        <v>209</v>
      </c>
      <c r="S55" s="71">
        <v>41325</v>
      </c>
      <c r="T55" s="68"/>
      <c r="U55" s="68"/>
      <c r="V55" s="68"/>
      <c r="W55" s="68"/>
      <c r="X55" s="68"/>
      <c r="Y55" s="68"/>
      <c r="Z55" s="68" t="s">
        <v>3276</v>
      </c>
      <c r="AA55" s="68"/>
      <c r="AB55" s="68"/>
      <c r="AC55" s="68"/>
      <c r="AD55" s="72">
        <v>0</v>
      </c>
      <c r="AE55" s="68" t="str">
        <f>(TRUNC(AD55/12))&amp;"년 "&amp;(ROUNDDOWN(MOD(AD55,12),0))&amp;"개월"</f>
        <v>0년 0개월</v>
      </c>
      <c r="AF55" s="72">
        <f ca="1">($AL$1-K55)/30</f>
        <v>159.46666666666667</v>
      </c>
      <c r="AG55" s="68" t="str">
        <f ca="1">(TRUNC(AF55/12))&amp;"년 "&amp;(ROUNDDOWN(MOD(AF55,12),0))&amp;"개월"</f>
        <v>13년 3개월</v>
      </c>
      <c r="AH55" s="72">
        <f ca="1">+AD55+AF55</f>
        <v>159.46666666666667</v>
      </c>
      <c r="AI55" s="68" t="str">
        <f ca="1">(TRUNC(AH55/12))&amp;"년 "&amp;(ROUNDDOWN(MOD(AH55,12),0))&amp;"개월"</f>
        <v>13년 3개월</v>
      </c>
      <c r="AJ55" s="165" t="s">
        <v>3277</v>
      </c>
      <c r="AK55" s="68" t="s">
        <v>3278</v>
      </c>
      <c r="AL55" s="167" t="s">
        <v>3279</v>
      </c>
      <c r="AM55" s="68"/>
      <c r="AN55" s="68" t="s">
        <v>3280</v>
      </c>
      <c r="AO55" s="76">
        <v>5.26</v>
      </c>
      <c r="AP55" s="32"/>
      <c r="AQ55" s="32" t="s">
        <v>2190</v>
      </c>
      <c r="AR55" s="32"/>
      <c r="AS55" s="32"/>
      <c r="AT55" s="32"/>
      <c r="AU55" s="32"/>
      <c r="AV55" s="32"/>
      <c r="AW55" s="32"/>
      <c r="AX55" s="32"/>
      <c r="AY55" s="32"/>
      <c r="AZ55" s="32"/>
    </row>
    <row r="56" spans="1:52" ht="16.5" customHeight="1">
      <c r="A56" s="33" t="s">
        <v>134</v>
      </c>
      <c r="B56" s="81" t="s">
        <v>3312</v>
      </c>
      <c r="C56" s="81" t="s">
        <v>2051</v>
      </c>
      <c r="D56" s="108" t="s">
        <v>3313</v>
      </c>
      <c r="E56" s="108"/>
      <c r="F56" s="82" t="s">
        <v>228</v>
      </c>
      <c r="G56" s="82" t="s">
        <v>3314</v>
      </c>
      <c r="H56" s="83" t="s">
        <v>4134</v>
      </c>
      <c r="I56" s="82" t="s">
        <v>1232</v>
      </c>
      <c r="J56" s="84" t="s">
        <v>3315</v>
      </c>
      <c r="K56" s="36">
        <v>42255</v>
      </c>
      <c r="L56" s="36"/>
      <c r="M56" s="85"/>
      <c r="N56" s="37" t="s">
        <v>153</v>
      </c>
      <c r="O56" s="37" t="s">
        <v>1204</v>
      </c>
      <c r="P56" s="87" t="s">
        <v>3316</v>
      </c>
      <c r="Q56" s="87" t="s">
        <v>964</v>
      </c>
      <c r="R56" s="37" t="s">
        <v>209</v>
      </c>
      <c r="S56" s="36">
        <v>35850</v>
      </c>
      <c r="T56" s="86"/>
      <c r="U56" s="86"/>
      <c r="V56" s="37"/>
      <c r="W56" s="86"/>
      <c r="X56" s="37"/>
      <c r="Y56" s="86"/>
      <c r="Z56" s="37" t="s">
        <v>199</v>
      </c>
      <c r="AA56" s="37"/>
      <c r="AB56" s="85"/>
      <c r="AC56" s="37"/>
      <c r="AD56" s="39">
        <v>168</v>
      </c>
      <c r="AE56" s="87" t="str">
        <f>(TRUNC(AD56/12))&amp;"년 "&amp;(ROUNDDOWN(MOD(AD56,12),0))&amp;"개월"</f>
        <v>14년 0개월</v>
      </c>
      <c r="AF56" s="39">
        <f ca="1">(재직자!$AL$1-K56)/30</f>
        <v>128.63333333333333</v>
      </c>
      <c r="AG56" s="91" t="str">
        <f ca="1">(TRUNC(AF56/12))&amp;"년 "&amp;(ROUNDDOWN(MOD(AF56,12),0))&amp;"개월"</f>
        <v>10년 8개월</v>
      </c>
      <c r="AH56" s="39">
        <f ca="1">+AD56+AF56</f>
        <v>296.63333333333333</v>
      </c>
      <c r="AI56" s="39" t="str">
        <f ca="1">(TRUNC(AH56/12))&amp;"년 "&amp;(ROUNDDOWN(MOD(AH56,12),0))&amp;"개월"</f>
        <v>24년 8개월</v>
      </c>
      <c r="AJ56" s="88" t="s">
        <v>3317</v>
      </c>
      <c r="AK56" s="81" t="s">
        <v>3318</v>
      </c>
      <c r="AL56" s="50" t="s">
        <v>3319</v>
      </c>
      <c r="AM56" s="86"/>
      <c r="AN56" s="37" t="s">
        <v>3320</v>
      </c>
      <c r="AO56" s="54" t="s">
        <v>3321</v>
      </c>
      <c r="AP56" s="32"/>
      <c r="AQ56" s="32" t="s">
        <v>2190</v>
      </c>
      <c r="AR56" s="32"/>
      <c r="AS56" s="32"/>
      <c r="AT56" s="32"/>
      <c r="AU56" s="32"/>
      <c r="AV56" s="32"/>
      <c r="AW56" s="32"/>
      <c r="AX56" s="32"/>
      <c r="AY56" s="32"/>
      <c r="AZ56" s="32"/>
    </row>
    <row r="57" spans="1:52" ht="16.5" customHeight="1">
      <c r="A57" s="33" t="s">
        <v>160</v>
      </c>
      <c r="B57" s="81" t="s">
        <v>3360</v>
      </c>
      <c r="C57" s="81" t="s">
        <v>924</v>
      </c>
      <c r="D57" s="108" t="s">
        <v>1120</v>
      </c>
      <c r="E57" s="108"/>
      <c r="F57" s="82" t="s">
        <v>34</v>
      </c>
      <c r="G57" s="82" t="s">
        <v>1121</v>
      </c>
      <c r="H57" s="80" t="s">
        <v>4134</v>
      </c>
      <c r="I57" s="82" t="s">
        <v>903</v>
      </c>
      <c r="J57" s="84" t="s">
        <v>1122</v>
      </c>
      <c r="K57" s="36">
        <v>43192</v>
      </c>
      <c r="L57" s="36"/>
      <c r="M57" s="85"/>
      <c r="N57" s="37" t="s">
        <v>153</v>
      </c>
      <c r="O57" s="37" t="s">
        <v>1123</v>
      </c>
      <c r="P57" s="87" t="s">
        <v>1124</v>
      </c>
      <c r="Q57" s="87" t="s">
        <v>1433</v>
      </c>
      <c r="R57" s="37" t="s">
        <v>209</v>
      </c>
      <c r="S57" s="85">
        <v>38770</v>
      </c>
      <c r="T57" s="37" t="s">
        <v>275</v>
      </c>
      <c r="U57" s="85">
        <v>38215</v>
      </c>
      <c r="V57" s="37"/>
      <c r="W57" s="85"/>
      <c r="X57" s="37"/>
      <c r="Y57" s="85"/>
      <c r="Z57" s="37" t="s">
        <v>199</v>
      </c>
      <c r="AA57" s="37"/>
      <c r="AB57" s="85"/>
      <c r="AC57" s="37"/>
      <c r="AD57" s="39">
        <v>133</v>
      </c>
      <c r="AE57" s="87" t="str">
        <f>(TRUNC(AD57/12))&amp;"년 "&amp;(ROUNDDOWN(MOD(AD57,12),0))&amp;"개월"</f>
        <v>11년 1개월</v>
      </c>
      <c r="AF57" s="39">
        <f ca="1">(재직자!$AL$1-K57)/30</f>
        <v>97.4</v>
      </c>
      <c r="AG57" s="91" t="str">
        <f ca="1">(TRUNC(AF57/12))&amp;"년 "&amp;(ROUNDDOWN(MOD(AF57,12),0))&amp;"개월"</f>
        <v>8년 1개월</v>
      </c>
      <c r="AH57" s="39">
        <f ca="1">+AD57+AF57</f>
        <v>230.4</v>
      </c>
      <c r="AI57" s="39" t="str">
        <f ca="1">(TRUNC(AH57/12))&amp;"년 "&amp;(ROUNDDOWN(MOD(AH57,12),0))&amp;"개월"</f>
        <v>19년 2개월</v>
      </c>
      <c r="AJ57" s="88" t="s">
        <v>3361</v>
      </c>
      <c r="AK57" s="81" t="s">
        <v>1126</v>
      </c>
      <c r="AL57" s="62" t="s">
        <v>1127</v>
      </c>
      <c r="AM57" s="86"/>
      <c r="AN57" s="37" t="s">
        <v>1128</v>
      </c>
      <c r="AO57" s="54">
        <v>12.18</v>
      </c>
      <c r="AP57" s="32"/>
      <c r="AQ57" s="32" t="s">
        <v>2190</v>
      </c>
      <c r="AR57" s="32"/>
      <c r="AS57" s="32"/>
      <c r="AT57" s="32"/>
      <c r="AU57" s="32"/>
      <c r="AV57" s="32"/>
      <c r="AW57" s="32"/>
      <c r="AX57" s="32"/>
      <c r="AY57" s="32"/>
      <c r="AZ57" s="32"/>
    </row>
    <row r="58" spans="1:52" ht="16.5" customHeight="1">
      <c r="A58" s="33" t="s">
        <v>175</v>
      </c>
      <c r="B58" s="81" t="s">
        <v>3382</v>
      </c>
      <c r="C58" s="81" t="s">
        <v>193</v>
      </c>
      <c r="D58" s="108" t="s">
        <v>1507</v>
      </c>
      <c r="E58" s="108"/>
      <c r="F58" s="82" t="s">
        <v>228</v>
      </c>
      <c r="G58" s="87" t="s">
        <v>1508</v>
      </c>
      <c r="H58" s="83" t="s">
        <v>4134</v>
      </c>
      <c r="I58" s="82" t="s">
        <v>1232</v>
      </c>
      <c r="J58" s="84" t="s">
        <v>1509</v>
      </c>
      <c r="K58" s="36">
        <v>40528</v>
      </c>
      <c r="L58" s="36">
        <v>42917</v>
      </c>
      <c r="M58" s="85"/>
      <c r="N58" s="37" t="s">
        <v>153</v>
      </c>
      <c r="O58" s="37" t="s">
        <v>1510</v>
      </c>
      <c r="P58" s="87" t="s">
        <v>457</v>
      </c>
      <c r="Q58" s="87" t="s">
        <v>964</v>
      </c>
      <c r="R58" s="37" t="s">
        <v>209</v>
      </c>
      <c r="S58" s="85">
        <v>36392</v>
      </c>
      <c r="T58" s="37"/>
      <c r="U58" s="86"/>
      <c r="V58" s="37"/>
      <c r="W58" s="86"/>
      <c r="X58" s="37"/>
      <c r="Y58" s="86"/>
      <c r="Z58" s="37" t="s">
        <v>199</v>
      </c>
      <c r="AA58" s="37" t="s">
        <v>211</v>
      </c>
      <c r="AB58" s="85">
        <v>40753</v>
      </c>
      <c r="AC58" s="37" t="s">
        <v>230</v>
      </c>
      <c r="AD58" s="39">
        <v>132</v>
      </c>
      <c r="AE58" s="87" t="str">
        <f>(TRUNC(AD58/12))&amp;"년 "&amp;(ROUNDDOWN(MOD(AD58,12),0))&amp;"개월"</f>
        <v>11년 0개월</v>
      </c>
      <c r="AF58" s="39">
        <f ca="1">($AL$1-K58)/30</f>
        <v>186.2</v>
      </c>
      <c r="AG58" s="91" t="str">
        <f ca="1">(TRUNC(AF58/12))&amp;"년 "&amp;(ROUNDDOWN(MOD(AF58,12),0))&amp;"개월"</f>
        <v>15년 6개월</v>
      </c>
      <c r="AH58" s="39">
        <f ca="1">+AD58+AF58</f>
        <v>318.2</v>
      </c>
      <c r="AI58" s="39" t="str">
        <f ca="1">(TRUNC(AH58/12))&amp;"년 "&amp;(ROUNDDOWN(MOD(AH58,12),0))&amp;"개월"</f>
        <v>26년 6개월</v>
      </c>
      <c r="AJ58" s="88" t="s">
        <v>1511</v>
      </c>
      <c r="AK58" s="81" t="s">
        <v>1512</v>
      </c>
      <c r="AL58" s="50" t="s">
        <v>1513</v>
      </c>
      <c r="AM58" s="37"/>
      <c r="AN58" s="37" t="s">
        <v>1514</v>
      </c>
      <c r="AO58" s="54" t="s">
        <v>727</v>
      </c>
      <c r="AP58" s="32"/>
      <c r="AQ58" s="32" t="s">
        <v>2190</v>
      </c>
      <c r="AR58" s="32"/>
      <c r="AS58" s="32"/>
      <c r="AT58" s="32"/>
      <c r="AU58" s="32"/>
      <c r="AV58" s="32"/>
      <c r="AW58" s="32"/>
      <c r="AX58" s="32"/>
      <c r="AY58" s="32"/>
      <c r="AZ58" s="32"/>
    </row>
    <row r="59" spans="1:52" ht="16.5" customHeight="1">
      <c r="A59" s="33" t="s">
        <v>183</v>
      </c>
      <c r="B59" s="81" t="s">
        <v>3389</v>
      </c>
      <c r="C59" s="81" t="s">
        <v>193</v>
      </c>
      <c r="D59" s="108" t="s">
        <v>3390</v>
      </c>
      <c r="E59" s="108"/>
      <c r="F59" s="82" t="s">
        <v>44</v>
      </c>
      <c r="G59" s="82" t="s">
        <v>3391</v>
      </c>
      <c r="H59" s="83" t="s">
        <v>4134</v>
      </c>
      <c r="I59" s="82"/>
      <c r="J59" s="84" t="s">
        <v>3392</v>
      </c>
      <c r="K59" s="85">
        <v>43426</v>
      </c>
      <c r="L59" s="36">
        <v>44562</v>
      </c>
      <c r="M59" s="85"/>
      <c r="N59" s="86" t="s">
        <v>153</v>
      </c>
      <c r="O59" s="37" t="s">
        <v>1123</v>
      </c>
      <c r="P59" s="87" t="s">
        <v>742</v>
      </c>
      <c r="Q59" s="87" t="s">
        <v>1433</v>
      </c>
      <c r="R59" s="37" t="s">
        <v>209</v>
      </c>
      <c r="S59" s="85"/>
      <c r="T59" s="37" t="s">
        <v>275</v>
      </c>
      <c r="U59" s="85">
        <v>43329</v>
      </c>
      <c r="V59" s="37"/>
      <c r="W59" s="85"/>
      <c r="X59" s="37"/>
      <c r="Y59" s="85"/>
      <c r="Z59" s="37"/>
      <c r="AA59" s="86"/>
      <c r="AB59" s="85"/>
      <c r="AC59" s="37"/>
      <c r="AD59" s="39"/>
      <c r="AE59" s="87" t="str">
        <f>(TRUNC(AD59/12))&amp;"년 "&amp;(ROUNDDOWN(MOD(AD59,12),0))&amp;"개월"</f>
        <v>0년 0개월</v>
      </c>
      <c r="AF59" s="39">
        <f ca="1">(재직자!$AL$1-K59)/30</f>
        <v>89.6</v>
      </c>
      <c r="AG59" s="91" t="str">
        <f ca="1">(TRUNC(AF59/12))&amp;"년 "&amp;(ROUNDDOWN(MOD(AF59,12),0))&amp;"개월"</f>
        <v>7년 5개월</v>
      </c>
      <c r="AH59" s="39">
        <f ca="1">+AD59+AF59</f>
        <v>89.6</v>
      </c>
      <c r="AI59" s="39" t="str">
        <f ca="1">(TRUNC(AH59/12))&amp;"년 "&amp;(ROUNDDOWN(MOD(AH59,12),0))&amp;"개월"</f>
        <v>7년 5개월</v>
      </c>
      <c r="AJ59" s="88" t="s">
        <v>3393</v>
      </c>
      <c r="AK59" s="81" t="s">
        <v>3394</v>
      </c>
      <c r="AL59" s="62" t="s">
        <v>3395</v>
      </c>
      <c r="AM59" s="37"/>
      <c r="AN59" s="37" t="s">
        <v>3396</v>
      </c>
      <c r="AO59" s="54" t="s">
        <v>3397</v>
      </c>
      <c r="AP59" s="32"/>
      <c r="AQ59" s="32" t="s">
        <v>2190</v>
      </c>
      <c r="AR59" s="32"/>
      <c r="AS59" s="32"/>
      <c r="AT59" s="32"/>
      <c r="AU59" s="32"/>
      <c r="AV59" s="32"/>
      <c r="AW59" s="32"/>
      <c r="AX59" s="32"/>
      <c r="AY59" s="32"/>
      <c r="AZ59" s="32"/>
    </row>
    <row r="60" spans="1:52" ht="16.5" customHeight="1">
      <c r="A60" s="33" t="s">
        <v>187</v>
      </c>
      <c r="B60" s="81" t="s">
        <v>3398</v>
      </c>
      <c r="C60" s="81" t="s">
        <v>193</v>
      </c>
      <c r="D60" s="108" t="s">
        <v>3399</v>
      </c>
      <c r="E60" s="108"/>
      <c r="F60" s="82" t="s">
        <v>34</v>
      </c>
      <c r="G60" s="82"/>
      <c r="H60" s="80" t="s">
        <v>4134</v>
      </c>
      <c r="I60" s="82"/>
      <c r="J60" s="84" t="s">
        <v>3400</v>
      </c>
      <c r="K60" s="85">
        <v>43467</v>
      </c>
      <c r="L60" s="36">
        <v>44562</v>
      </c>
      <c r="M60" s="85"/>
      <c r="N60" s="37" t="s">
        <v>448</v>
      </c>
      <c r="O60" s="37" t="s">
        <v>2653</v>
      </c>
      <c r="P60" s="87"/>
      <c r="Q60" s="87" t="s">
        <v>964</v>
      </c>
      <c r="R60" s="37" t="s">
        <v>448</v>
      </c>
      <c r="S60" s="85"/>
      <c r="T60" s="37"/>
      <c r="U60" s="85"/>
      <c r="V60" s="37"/>
      <c r="W60" s="85"/>
      <c r="X60" s="37"/>
      <c r="Y60" s="85"/>
      <c r="Z60" s="37"/>
      <c r="AA60" s="86"/>
      <c r="AB60" s="85"/>
      <c r="AC60" s="37"/>
      <c r="AD60" s="39">
        <v>166</v>
      </c>
      <c r="AE60" s="87" t="str">
        <f>(TRUNC(AD60/12))&amp;"년 "&amp;(ROUNDDOWN(MOD(AD60,12),0))&amp;"개월"</f>
        <v>13년 10개월</v>
      </c>
      <c r="AF60" s="39">
        <f ca="1">(재직자!$AL$1-K60)/30</f>
        <v>88.233333333333334</v>
      </c>
      <c r="AG60" s="91" t="str">
        <f ca="1">(TRUNC(AF60/12))&amp;"년 "&amp;(ROUNDDOWN(MOD(AF60,12),0))&amp;"개월"</f>
        <v>7년 4개월</v>
      </c>
      <c r="AH60" s="39">
        <f ca="1">+AD60+AF60</f>
        <v>254.23333333333335</v>
      </c>
      <c r="AI60" s="39" t="str">
        <f ca="1">(TRUNC(AH60/12))&amp;"년 "&amp;(ROUNDDOWN(MOD(AH60,12),0))&amp;"개월"</f>
        <v>21년 2개월</v>
      </c>
      <c r="AJ60" s="88" t="s">
        <v>3401</v>
      </c>
      <c r="AK60" s="81" t="s">
        <v>3402</v>
      </c>
      <c r="AL60" s="62" t="s">
        <v>3403</v>
      </c>
      <c r="AM60" s="90"/>
      <c r="AN60" s="37" t="s">
        <v>3404</v>
      </c>
      <c r="AO60" s="54" t="s">
        <v>3405</v>
      </c>
      <c r="AP60" s="32"/>
      <c r="AQ60" s="32" t="s">
        <v>2190</v>
      </c>
      <c r="AR60" s="32"/>
      <c r="AS60" s="32"/>
      <c r="AT60" s="32"/>
      <c r="AU60" s="32"/>
      <c r="AV60" s="32"/>
      <c r="AW60" s="32"/>
      <c r="AX60" s="32"/>
      <c r="AY60" s="32"/>
      <c r="AZ60" s="32"/>
    </row>
    <row r="61" spans="1:52" ht="16.5" customHeight="1">
      <c r="A61" s="33" t="s">
        <v>479</v>
      </c>
      <c r="B61" s="81" t="s">
        <v>3424</v>
      </c>
      <c r="C61" s="81" t="s">
        <v>193</v>
      </c>
      <c r="D61" s="108" t="s">
        <v>3425</v>
      </c>
      <c r="E61" s="108"/>
      <c r="F61" s="82" t="s">
        <v>228</v>
      </c>
      <c r="G61" s="82"/>
      <c r="H61" s="83" t="s">
        <v>4134</v>
      </c>
      <c r="I61" s="82"/>
      <c r="J61" s="84" t="s">
        <v>3426</v>
      </c>
      <c r="K61" s="85">
        <v>43580</v>
      </c>
      <c r="L61" s="36">
        <v>44562</v>
      </c>
      <c r="M61" s="85"/>
      <c r="N61" s="37" t="s">
        <v>153</v>
      </c>
      <c r="O61" s="37" t="s">
        <v>3025</v>
      </c>
      <c r="P61" s="87" t="s">
        <v>457</v>
      </c>
      <c r="Q61" s="87" t="s">
        <v>964</v>
      </c>
      <c r="R61" s="37" t="s">
        <v>209</v>
      </c>
      <c r="S61" s="85">
        <v>37669</v>
      </c>
      <c r="T61" s="37" t="s">
        <v>275</v>
      </c>
      <c r="U61" s="85">
        <v>40788</v>
      </c>
      <c r="V61" s="37"/>
      <c r="W61" s="85"/>
      <c r="X61" s="37"/>
      <c r="Y61" s="85"/>
      <c r="Z61" s="37"/>
      <c r="AA61" s="37"/>
      <c r="AB61" s="85"/>
      <c r="AC61" s="37"/>
      <c r="AD61" s="39">
        <v>144</v>
      </c>
      <c r="AE61" s="87" t="str">
        <f>(TRUNC(AD61/12))&amp;"년 "&amp;(ROUNDDOWN(MOD(AD61,12),0))&amp;"개월"</f>
        <v>12년 0개월</v>
      </c>
      <c r="AF61" s="39">
        <f ca="1">(재직자!$AL$1-K61)/30</f>
        <v>84.466666666666669</v>
      </c>
      <c r="AG61" s="91" t="str">
        <f ca="1">(TRUNC(AF61/12))&amp;"년 "&amp;(ROUNDDOWN(MOD(AF61,12),0))&amp;"개월"</f>
        <v>7년 0개월</v>
      </c>
      <c r="AH61" s="39">
        <f ca="1">+AD61+AF61</f>
        <v>228.46666666666667</v>
      </c>
      <c r="AI61" s="39" t="str">
        <f ca="1">(TRUNC(AH61/12))&amp;"년 "&amp;(ROUNDDOWN(MOD(AH61,12),0))&amp;"개월"</f>
        <v>19년 0개월</v>
      </c>
      <c r="AJ61" s="88" t="s">
        <v>3427</v>
      </c>
      <c r="AK61" s="81" t="s">
        <v>3428</v>
      </c>
      <c r="AL61" s="62" t="s">
        <v>3429</v>
      </c>
      <c r="AM61" s="90"/>
      <c r="AN61" s="37" t="s">
        <v>2265</v>
      </c>
      <c r="AO61" s="54" t="s">
        <v>1632</v>
      </c>
      <c r="AP61" s="32"/>
      <c r="AQ61" s="32" t="s">
        <v>2190</v>
      </c>
      <c r="AR61" s="32"/>
      <c r="AS61" s="32"/>
      <c r="AT61" s="32"/>
      <c r="AU61" s="32"/>
      <c r="AV61" s="32"/>
      <c r="AW61" s="32"/>
      <c r="AX61" s="32"/>
      <c r="AY61" s="32"/>
      <c r="AZ61" s="32"/>
    </row>
    <row r="62" spans="1:52" ht="16.5" customHeight="1">
      <c r="A62" s="33" t="s">
        <v>536</v>
      </c>
      <c r="B62" s="37">
        <v>200701</v>
      </c>
      <c r="C62" s="81" t="s">
        <v>924</v>
      </c>
      <c r="D62" s="104" t="s">
        <v>3483</v>
      </c>
      <c r="E62" s="104"/>
      <c r="F62" s="37" t="s">
        <v>228</v>
      </c>
      <c r="G62" s="87"/>
      <c r="H62" s="83" t="s">
        <v>4134</v>
      </c>
      <c r="I62" s="82"/>
      <c r="J62" s="37" t="s">
        <v>3484</v>
      </c>
      <c r="K62" s="85">
        <v>44025</v>
      </c>
      <c r="L62" s="36"/>
      <c r="M62" s="85"/>
      <c r="N62" s="37" t="s">
        <v>146</v>
      </c>
      <c r="O62" s="37" t="s">
        <v>1528</v>
      </c>
      <c r="P62" s="37" t="s">
        <v>499</v>
      </c>
      <c r="Q62" s="37" t="s">
        <v>964</v>
      </c>
      <c r="R62" s="37" t="s">
        <v>265</v>
      </c>
      <c r="S62" s="85">
        <v>36201</v>
      </c>
      <c r="T62" s="37" t="s">
        <v>569</v>
      </c>
      <c r="U62" s="85">
        <v>33966</v>
      </c>
      <c r="V62" s="37" t="s">
        <v>3485</v>
      </c>
      <c r="W62" s="85">
        <v>41232</v>
      </c>
      <c r="X62" s="37" t="s">
        <v>3486</v>
      </c>
      <c r="Y62" s="85">
        <v>37508</v>
      </c>
      <c r="Z62" s="37"/>
      <c r="AA62" s="86"/>
      <c r="AB62" s="37"/>
      <c r="AC62" s="37"/>
      <c r="AD62" s="39">
        <v>245</v>
      </c>
      <c r="AE62" s="86" t="str">
        <f>(TRUNC(AD62/12))&amp;"년 "&amp;(ROUNDDOWN(MOD(AD62,12),0))&amp;"개월"</f>
        <v>20년 5개월</v>
      </c>
      <c r="AF62" s="39">
        <f ca="1">($AL$1-K62)/30</f>
        <v>69.63333333333334</v>
      </c>
      <c r="AG62" s="86" t="str">
        <f ca="1">(TRUNC(AF62/12))&amp;"년 "&amp;(ROUNDDOWN(MOD(AF62,12),0))&amp;"개월"</f>
        <v>5년 9개월</v>
      </c>
      <c r="AH62" s="39">
        <f ca="1">+AD62+AF62</f>
        <v>314.63333333333333</v>
      </c>
      <c r="AI62" s="39" t="str">
        <f ca="1">(TRUNC(AH62/12))&amp;"년 "&amp;(ROUNDDOWN(MOD(AH62,12),0))&amp;"개월"</f>
        <v>26년 2개월</v>
      </c>
      <c r="AJ62" s="44" t="s">
        <v>3487</v>
      </c>
      <c r="AK62" s="37" t="s">
        <v>3488</v>
      </c>
      <c r="AL62" s="50" t="s">
        <v>3489</v>
      </c>
      <c r="AM62" s="37"/>
      <c r="AN62" s="37" t="s">
        <v>3490</v>
      </c>
      <c r="AO62" s="54" t="s">
        <v>3491</v>
      </c>
      <c r="AP62" s="32"/>
      <c r="AQ62" s="32" t="s">
        <v>2190</v>
      </c>
      <c r="AR62" s="32"/>
      <c r="AS62" s="32"/>
      <c r="AT62" s="32"/>
      <c r="AU62" s="32"/>
      <c r="AV62" s="32"/>
      <c r="AW62" s="32"/>
      <c r="AX62" s="32"/>
      <c r="AY62" s="32"/>
      <c r="AZ62" s="32"/>
    </row>
    <row r="63" spans="1:52" ht="16.5" customHeight="1">
      <c r="A63" s="33" t="s">
        <v>748</v>
      </c>
      <c r="B63" s="37">
        <v>210602</v>
      </c>
      <c r="C63" s="81" t="s">
        <v>193</v>
      </c>
      <c r="D63" s="104" t="s">
        <v>1603</v>
      </c>
      <c r="E63" s="104"/>
      <c r="F63" s="86" t="s">
        <v>228</v>
      </c>
      <c r="G63" s="87"/>
      <c r="H63" s="83" t="s">
        <v>4134</v>
      </c>
      <c r="I63" s="82"/>
      <c r="J63" s="86" t="s">
        <v>1605</v>
      </c>
      <c r="K63" s="85">
        <v>44351</v>
      </c>
      <c r="L63" s="36"/>
      <c r="M63" s="85"/>
      <c r="N63" s="37" t="s">
        <v>146</v>
      </c>
      <c r="O63" s="37" t="s">
        <v>1528</v>
      </c>
      <c r="P63" s="86" t="s">
        <v>1607</v>
      </c>
      <c r="Q63" s="86" t="s">
        <v>964</v>
      </c>
      <c r="R63" s="37" t="s">
        <v>265</v>
      </c>
      <c r="S63" s="85">
        <v>35462</v>
      </c>
      <c r="T63" s="37"/>
      <c r="U63" s="85"/>
      <c r="V63" s="37"/>
      <c r="W63" s="85"/>
      <c r="X63" s="37"/>
      <c r="Y63" s="85"/>
      <c r="Z63" s="37"/>
      <c r="AA63" s="37"/>
      <c r="AB63" s="86"/>
      <c r="AC63" s="37"/>
      <c r="AD63" s="39">
        <v>258</v>
      </c>
      <c r="AE63" s="86" t="str">
        <f>(TRUNC(AD63/12))&amp;"년 "&amp;(ROUNDDOWN(MOD(AD63,12),0))&amp;"개월"</f>
        <v>21년 6개월</v>
      </c>
      <c r="AF63" s="39">
        <f ca="1">($AL$1-K63)/30</f>
        <v>58.766666666666666</v>
      </c>
      <c r="AG63" s="86" t="str">
        <f ca="1">(TRUNC(AF63/12))&amp;"년 "&amp;(ROUNDDOWN(MOD(AF63,12),0))&amp;"개월"</f>
        <v>4년 10개월</v>
      </c>
      <c r="AH63" s="39">
        <f ca="1">+AD63+AF63</f>
        <v>316.76666666666665</v>
      </c>
      <c r="AI63" s="91" t="str">
        <f ca="1">(TRUNC(AH63/12))&amp;"년 "&amp;(ROUNDDOWN(MOD(AH63,12),0))&amp;"개월"</f>
        <v>26년 4개월</v>
      </c>
      <c r="AJ63" s="96" t="s">
        <v>3593</v>
      </c>
      <c r="AK63" s="86" t="s">
        <v>1609</v>
      </c>
      <c r="AL63" s="50" t="s">
        <v>3594</v>
      </c>
      <c r="AM63" s="37"/>
      <c r="AN63" s="37" t="s">
        <v>1611</v>
      </c>
      <c r="AO63" s="54" t="s">
        <v>1612</v>
      </c>
      <c r="AP63" s="32"/>
      <c r="AQ63" s="32" t="s">
        <v>2190</v>
      </c>
      <c r="AR63" s="32"/>
      <c r="AS63" s="32"/>
      <c r="AT63" s="32"/>
      <c r="AU63" s="32"/>
      <c r="AV63" s="32"/>
      <c r="AW63" s="32"/>
      <c r="AX63" s="32"/>
      <c r="AY63" s="32"/>
      <c r="AZ63" s="32"/>
    </row>
    <row r="64" spans="1:52" ht="16.5" customHeight="1">
      <c r="A64" s="33" t="s">
        <v>510</v>
      </c>
      <c r="B64" s="37">
        <v>211202</v>
      </c>
      <c r="C64" s="81" t="s">
        <v>193</v>
      </c>
      <c r="D64" s="104" t="s">
        <v>3660</v>
      </c>
      <c r="E64" s="104"/>
      <c r="F64" s="37" t="s">
        <v>34</v>
      </c>
      <c r="G64" s="87"/>
      <c r="H64" s="83" t="s">
        <v>4134</v>
      </c>
      <c r="I64" s="82"/>
      <c r="J64" s="37" t="s">
        <v>3661</v>
      </c>
      <c r="K64" s="85">
        <v>44536</v>
      </c>
      <c r="L64" s="36"/>
      <c r="M64" s="85"/>
      <c r="N64" s="37" t="s">
        <v>146</v>
      </c>
      <c r="O64" s="37" t="s">
        <v>3662</v>
      </c>
      <c r="P64" s="37" t="s">
        <v>3663</v>
      </c>
      <c r="Q64" s="37" t="s">
        <v>1134</v>
      </c>
      <c r="R64" s="37" t="s">
        <v>265</v>
      </c>
      <c r="S64" s="85">
        <v>38400</v>
      </c>
      <c r="T64" s="37"/>
      <c r="U64" s="85"/>
      <c r="V64" s="37"/>
      <c r="W64" s="85"/>
      <c r="X64" s="37"/>
      <c r="Y64" s="85"/>
      <c r="Z64" s="37"/>
      <c r="AA64" s="37"/>
      <c r="AB64" s="37"/>
      <c r="AC64" s="37"/>
      <c r="AD64" s="39">
        <v>152</v>
      </c>
      <c r="AE64" s="86" t="str">
        <f>(TRUNC(AD64/12))&amp;"년 "&amp;(ROUNDDOWN(MOD(AD64,12),0))&amp;"개월"</f>
        <v>12년 8개월</v>
      </c>
      <c r="AF64" s="39">
        <f ca="1">($AL$1-K64)/30</f>
        <v>52.6</v>
      </c>
      <c r="AG64" s="86" t="str">
        <f ca="1">(TRUNC(AF64/12))&amp;"년 "&amp;(ROUNDDOWN(MOD(AF64,12),0))&amp;"개월"</f>
        <v>4년 4개월</v>
      </c>
      <c r="AH64" s="39">
        <f ca="1">+AD64+AF64</f>
        <v>204.6</v>
      </c>
      <c r="AI64" s="91" t="str">
        <f ca="1">(TRUNC(AH64/12))&amp;"년 "&amp;(ROUNDDOWN(MOD(AH64,12),0))&amp;"개월"</f>
        <v>17년 0개월</v>
      </c>
      <c r="AJ64" s="44" t="s">
        <v>3664</v>
      </c>
      <c r="AK64" s="37" t="s">
        <v>3665</v>
      </c>
      <c r="AL64" s="50" t="s">
        <v>3666</v>
      </c>
      <c r="AM64" s="37"/>
      <c r="AN64" s="37" t="s">
        <v>3667</v>
      </c>
      <c r="AO64" s="54" t="s">
        <v>3668</v>
      </c>
      <c r="AP64" s="32"/>
      <c r="AQ64" s="32" t="s">
        <v>2190</v>
      </c>
      <c r="AR64" s="32"/>
      <c r="AS64" s="32"/>
      <c r="AT64" s="32"/>
      <c r="AU64" s="32"/>
      <c r="AV64" s="32"/>
      <c r="AW64" s="32"/>
      <c r="AX64" s="32"/>
      <c r="AY64" s="32"/>
      <c r="AZ64" s="32"/>
    </row>
    <row r="65" spans="1:52" ht="16.5" customHeight="1">
      <c r="A65" s="33" t="s">
        <v>224</v>
      </c>
      <c r="B65" s="86">
        <v>220102</v>
      </c>
      <c r="C65" s="81" t="s">
        <v>193</v>
      </c>
      <c r="D65" s="104" t="s">
        <v>3684</v>
      </c>
      <c r="E65" s="104"/>
      <c r="F65" s="86" t="s">
        <v>44</v>
      </c>
      <c r="G65" s="87"/>
      <c r="H65" s="80" t="s">
        <v>4134</v>
      </c>
      <c r="I65" s="82"/>
      <c r="J65" s="86" t="s">
        <v>3685</v>
      </c>
      <c r="K65" s="85">
        <v>44564</v>
      </c>
      <c r="L65" s="36"/>
      <c r="M65" s="85"/>
      <c r="N65" s="37" t="s">
        <v>153</v>
      </c>
      <c r="O65" s="37" t="s">
        <v>2835</v>
      </c>
      <c r="P65" s="86" t="s">
        <v>3686</v>
      </c>
      <c r="Q65" s="86" t="s">
        <v>1134</v>
      </c>
      <c r="R65" s="37" t="s">
        <v>209</v>
      </c>
      <c r="S65" s="85">
        <v>41327</v>
      </c>
      <c r="T65" s="37"/>
      <c r="U65" s="85"/>
      <c r="V65" s="37"/>
      <c r="W65" s="85"/>
      <c r="X65" s="37"/>
      <c r="Y65" s="85"/>
      <c r="Z65" s="37"/>
      <c r="AA65" s="37"/>
      <c r="AB65" s="86"/>
      <c r="AC65" s="37"/>
      <c r="AD65" s="39">
        <v>76</v>
      </c>
      <c r="AE65" s="86" t="str">
        <f>(TRUNC(AD65/12))&amp;"년 "&amp;(ROUNDDOWN(MOD(AD65,12),0))&amp;"개월"</f>
        <v>6년 4개월</v>
      </c>
      <c r="AF65" s="39">
        <f ca="1">($AL$1-K65)/30</f>
        <v>51.666666666666664</v>
      </c>
      <c r="AG65" s="86" t="str">
        <f ca="1">(TRUNC(AF65/12))&amp;"년 "&amp;(ROUNDDOWN(MOD(AF65,12),0))&amp;"개월"</f>
        <v>4년 3개월</v>
      </c>
      <c r="AH65" s="39">
        <f ca="1">+AD65+AF65</f>
        <v>127.66666666666666</v>
      </c>
      <c r="AI65" s="39" t="str">
        <f ca="1">(TRUNC(AH65/12))&amp;"년 "&amp;(ROUNDDOWN(MOD(AH65,12),0))&amp;"개월"</f>
        <v>10년 7개월</v>
      </c>
      <c r="AJ65" s="96" t="s">
        <v>3687</v>
      </c>
      <c r="AK65" s="86" t="s">
        <v>3688</v>
      </c>
      <c r="AL65" s="50" t="s">
        <v>775</v>
      </c>
      <c r="AM65" s="37"/>
      <c r="AN65" s="37" t="s">
        <v>3689</v>
      </c>
      <c r="AO65" s="54" t="s">
        <v>3690</v>
      </c>
      <c r="AP65" s="32"/>
      <c r="AQ65" s="32" t="s">
        <v>2190</v>
      </c>
      <c r="AR65" s="32"/>
      <c r="AS65" s="32"/>
      <c r="AT65" s="32"/>
      <c r="AU65" s="32"/>
      <c r="AV65" s="32"/>
      <c r="AW65" s="32"/>
      <c r="AX65" s="32"/>
      <c r="AY65" s="32"/>
      <c r="AZ65" s="32"/>
    </row>
    <row r="66" spans="1:52" ht="16.5" customHeight="1">
      <c r="A66" s="33" t="s">
        <v>911</v>
      </c>
      <c r="B66" s="86">
        <v>220206</v>
      </c>
      <c r="C66" s="81" t="s">
        <v>193</v>
      </c>
      <c r="D66" s="108" t="s">
        <v>3715</v>
      </c>
      <c r="E66" s="108"/>
      <c r="F66" s="82" t="s">
        <v>139</v>
      </c>
      <c r="G66" s="87" t="s">
        <v>3716</v>
      </c>
      <c r="H66" s="83" t="s">
        <v>4134</v>
      </c>
      <c r="I66" s="86"/>
      <c r="J66" s="84" t="s">
        <v>3717</v>
      </c>
      <c r="K66" s="85">
        <v>40007</v>
      </c>
      <c r="L66" s="36">
        <v>43891</v>
      </c>
      <c r="M66" s="85"/>
      <c r="N66" s="37" t="s">
        <v>153</v>
      </c>
      <c r="O66" s="37" t="s">
        <v>456</v>
      </c>
      <c r="P66" s="87" t="s">
        <v>457</v>
      </c>
      <c r="Q66" s="87"/>
      <c r="R66" s="37" t="s">
        <v>209</v>
      </c>
      <c r="S66" s="85">
        <v>36945</v>
      </c>
      <c r="T66" s="37"/>
      <c r="U66" s="86"/>
      <c r="V66" s="37"/>
      <c r="W66" s="86"/>
      <c r="X66" s="37"/>
      <c r="Y66" s="86"/>
      <c r="Z66" s="37" t="s">
        <v>199</v>
      </c>
      <c r="AA66" s="37"/>
      <c r="AB66" s="85"/>
      <c r="AC66" s="37" t="s">
        <v>230</v>
      </c>
      <c r="AD66" s="39">
        <v>102</v>
      </c>
      <c r="AE66" s="87" t="str">
        <f>(TRUNC(AD66/12))&amp;"년 "&amp;(ROUNDDOWN(MOD(AD66,12),0))&amp;"개월"</f>
        <v>8년 6개월</v>
      </c>
      <c r="AF66" s="39">
        <f ca="1">($AL$1-K66)/30</f>
        <v>203.56666666666666</v>
      </c>
      <c r="AG66" s="86" t="str">
        <f ca="1">(TRUNC(AF66/12))&amp;"년 "&amp;(ROUNDDOWN(MOD(AF66,12),0))&amp;"개월"</f>
        <v>16년 11개월</v>
      </c>
      <c r="AH66" s="39">
        <f ca="1">+AD66+AF66</f>
        <v>305.56666666666666</v>
      </c>
      <c r="AI66" s="91" t="str">
        <f ca="1">(TRUNC(AH66/12))&amp;"년 "&amp;(ROUNDDOWN(MOD(AH66,12),0))&amp;"개월"</f>
        <v>25년 5개월</v>
      </c>
      <c r="AJ66" s="88" t="s">
        <v>3718</v>
      </c>
      <c r="AK66" s="81" t="s">
        <v>3719</v>
      </c>
      <c r="AL66" s="50" t="s">
        <v>3720</v>
      </c>
      <c r="AM66" s="86">
        <v>2649</v>
      </c>
      <c r="AN66" s="37" t="s">
        <v>3721</v>
      </c>
      <c r="AO66" s="54" t="s">
        <v>3722</v>
      </c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</row>
    <row r="67" spans="1:52" ht="16.5" customHeight="1">
      <c r="A67" s="33" t="s">
        <v>359</v>
      </c>
      <c r="B67" s="86">
        <v>220701</v>
      </c>
      <c r="C67" s="81" t="s">
        <v>511</v>
      </c>
      <c r="D67" s="104" t="s">
        <v>2345</v>
      </c>
      <c r="E67" s="104"/>
      <c r="F67" s="86" t="s">
        <v>34</v>
      </c>
      <c r="G67" s="87"/>
      <c r="H67" s="83" t="s">
        <v>4134</v>
      </c>
      <c r="I67" s="82"/>
      <c r="J67" s="86" t="s">
        <v>2346</v>
      </c>
      <c r="K67" s="36">
        <v>44743</v>
      </c>
      <c r="L67" s="36"/>
      <c r="M67" s="85"/>
      <c r="N67" s="37" t="s">
        <v>153</v>
      </c>
      <c r="O67" s="37" t="s">
        <v>731</v>
      </c>
      <c r="P67" s="86" t="s">
        <v>457</v>
      </c>
      <c r="Q67" s="86" t="s">
        <v>711</v>
      </c>
      <c r="R67" s="37" t="s">
        <v>209</v>
      </c>
      <c r="S67" s="85">
        <v>43705</v>
      </c>
      <c r="T67" s="37"/>
      <c r="U67" s="85"/>
      <c r="V67" s="37"/>
      <c r="W67" s="36"/>
      <c r="X67" s="37"/>
      <c r="Y67" s="36"/>
      <c r="Z67" s="37"/>
      <c r="AA67" s="37"/>
      <c r="AB67" s="86"/>
      <c r="AC67" s="37"/>
      <c r="AD67" s="39">
        <v>90</v>
      </c>
      <c r="AE67" s="86" t="str">
        <f>(TRUNC(AD67/12))&amp;"년 "&amp;(ROUNDDOWN(MOD(AD67,12),0))&amp;"개월"</f>
        <v>7년 6개월</v>
      </c>
      <c r="AF67" s="39">
        <f ca="1">($AL$1-K67)/30</f>
        <v>45.7</v>
      </c>
      <c r="AG67" s="91" t="str">
        <f ca="1">(TRUNC(AF67/12))&amp;"년 "&amp;(ROUNDDOWN(MOD(AF67,12),0))&amp;"개월"</f>
        <v>3년 9개월</v>
      </c>
      <c r="AH67" s="39">
        <f ca="1">+AD67+AF67</f>
        <v>135.69999999999999</v>
      </c>
      <c r="AI67" s="39" t="str">
        <f ca="1">(TRUNC(AH67/12))&amp;"년 "&amp;(ROUNDDOWN(MOD(AH67,12),0))&amp;"개월"</f>
        <v>11년 3개월</v>
      </c>
      <c r="AJ67" s="96" t="s">
        <v>2347</v>
      </c>
      <c r="AK67" s="86" t="s">
        <v>2348</v>
      </c>
      <c r="AL67" s="50" t="s">
        <v>2349</v>
      </c>
      <c r="AM67" s="37"/>
      <c r="AN67" s="37" t="s">
        <v>2350</v>
      </c>
      <c r="AO67" s="54" t="s">
        <v>2351</v>
      </c>
      <c r="AP67" s="32"/>
      <c r="AQ67" s="32" t="s">
        <v>2190</v>
      </c>
      <c r="AR67" s="32"/>
      <c r="AS67" s="32"/>
      <c r="AT67" s="32"/>
      <c r="AU67" s="32"/>
      <c r="AV67" s="32"/>
      <c r="AW67" s="32"/>
      <c r="AX67" s="32"/>
      <c r="AY67" s="32"/>
      <c r="AZ67" s="32"/>
    </row>
    <row r="68" spans="1:52" ht="16.5" customHeight="1">
      <c r="A68" s="33" t="s">
        <v>164</v>
      </c>
      <c r="B68" s="81" t="s">
        <v>3362</v>
      </c>
      <c r="C68" s="81" t="s">
        <v>511</v>
      </c>
      <c r="D68" s="108" t="s">
        <v>3363</v>
      </c>
      <c r="E68" s="108"/>
      <c r="F68" s="82" t="s">
        <v>228</v>
      </c>
      <c r="G68" s="87" t="s">
        <v>3364</v>
      </c>
      <c r="H68" s="80" t="s">
        <v>4134</v>
      </c>
      <c r="I68" s="82"/>
      <c r="J68" s="84" t="s">
        <v>3365</v>
      </c>
      <c r="K68" s="36">
        <v>43304</v>
      </c>
      <c r="L68" s="36"/>
      <c r="M68" s="85"/>
      <c r="N68" s="37" t="s">
        <v>448</v>
      </c>
      <c r="O68" s="37" t="s">
        <v>3366</v>
      </c>
      <c r="P68" s="87"/>
      <c r="Q68" s="87" t="s">
        <v>711</v>
      </c>
      <c r="R68" s="37" t="s">
        <v>448</v>
      </c>
      <c r="S68" s="36">
        <v>34014</v>
      </c>
      <c r="T68" s="37"/>
      <c r="U68" s="86"/>
      <c r="V68" s="37"/>
      <c r="W68" s="86"/>
      <c r="X68" s="37"/>
      <c r="Y68" s="86"/>
      <c r="Z68" s="37"/>
      <c r="AA68" s="37"/>
      <c r="AB68" s="85"/>
      <c r="AC68" s="37"/>
      <c r="AD68" s="91">
        <v>216</v>
      </c>
      <c r="AE68" s="87" t="str">
        <f>(TRUNC(AD68/12))&amp;"년 "&amp;(ROUNDDOWN(MOD(AD68,12),0))&amp;"개월"</f>
        <v>18년 0개월</v>
      </c>
      <c r="AF68" s="39">
        <f ca="1">($AL$1-K68)/30</f>
        <v>93.666666666666671</v>
      </c>
      <c r="AG68" s="91" t="str">
        <f ca="1">(TRUNC(AF68/12))&amp;"년 "&amp;(ROUNDDOWN(MOD(AF68,12),0))&amp;"개월"</f>
        <v>7년 9개월</v>
      </c>
      <c r="AH68" s="39">
        <f ca="1">+AD68+AF68</f>
        <v>309.66666666666669</v>
      </c>
      <c r="AI68" s="39" t="str">
        <f ca="1">(TRUNC(AH68/12))&amp;"년 "&amp;(ROUNDDOWN(MOD(AH68,12),0))&amp;"개월"</f>
        <v>25년 9개월</v>
      </c>
      <c r="AJ68" s="88" t="s">
        <v>3367</v>
      </c>
      <c r="AK68" s="81" t="s">
        <v>3368</v>
      </c>
      <c r="AL68" s="50" t="s">
        <v>3369</v>
      </c>
      <c r="AM68" s="37"/>
      <c r="AN68" s="37" t="s">
        <v>3370</v>
      </c>
      <c r="AO68" s="54" t="s">
        <v>3371</v>
      </c>
      <c r="AP68" s="32"/>
      <c r="AQ68" s="32" t="s">
        <v>2190</v>
      </c>
      <c r="AR68" s="32"/>
      <c r="AS68" s="32"/>
      <c r="AT68" s="32"/>
      <c r="AU68" s="32"/>
      <c r="AV68" s="32"/>
      <c r="AW68" s="32"/>
      <c r="AX68" s="32"/>
      <c r="AY68" s="32"/>
      <c r="AZ68" s="32"/>
    </row>
    <row r="69" spans="1:52" ht="16.5" customHeight="1">
      <c r="A69" s="33" t="s">
        <v>1267</v>
      </c>
      <c r="B69" s="81" t="s">
        <v>3416</v>
      </c>
      <c r="C69" s="111" t="s">
        <v>193</v>
      </c>
      <c r="D69" s="108" t="s">
        <v>3417</v>
      </c>
      <c r="E69" s="108"/>
      <c r="F69" s="82" t="s">
        <v>34</v>
      </c>
      <c r="G69" s="82" t="s">
        <v>3418</v>
      </c>
      <c r="H69" s="80" t="s">
        <v>4134</v>
      </c>
      <c r="I69" s="82"/>
      <c r="J69" s="84" t="s">
        <v>3419</v>
      </c>
      <c r="K69" s="36">
        <v>43556</v>
      </c>
      <c r="L69" s="36">
        <v>44228</v>
      </c>
      <c r="M69" s="85"/>
      <c r="N69" s="37" t="s">
        <v>196</v>
      </c>
      <c r="O69" s="37" t="s">
        <v>420</v>
      </c>
      <c r="P69" s="87" t="s">
        <v>1271</v>
      </c>
      <c r="Q69" s="87" t="s">
        <v>711</v>
      </c>
      <c r="R69" s="37" t="s">
        <v>198</v>
      </c>
      <c r="S69" s="36">
        <v>38951</v>
      </c>
      <c r="T69" s="37" t="s">
        <v>275</v>
      </c>
      <c r="U69" s="85">
        <v>37963</v>
      </c>
      <c r="V69" s="37"/>
      <c r="W69" s="85"/>
      <c r="X69" s="37"/>
      <c r="Y69" s="85"/>
      <c r="Z69" s="37"/>
      <c r="AA69" s="37"/>
      <c r="AB69" s="85"/>
      <c r="AC69" s="37"/>
      <c r="AD69" s="39">
        <v>113</v>
      </c>
      <c r="AE69" s="87" t="str">
        <f>(TRUNC(AD69/12))&amp;"년 "&amp;(ROUNDDOWN(MOD(AD69,12),0))&amp;"개월"</f>
        <v>9년 5개월</v>
      </c>
      <c r="AF69" s="39">
        <f ca="1">(재직자!$AL$1-K69)/30</f>
        <v>85.266666666666666</v>
      </c>
      <c r="AG69" s="91" t="str">
        <f ca="1">(TRUNC(AF69/12))&amp;"년 "&amp;(ROUNDDOWN(MOD(AF69,12),0))&amp;"개월"</f>
        <v>7년 1개월</v>
      </c>
      <c r="AH69" s="39">
        <f ca="1">+AD69+AF69</f>
        <v>198.26666666666665</v>
      </c>
      <c r="AI69" s="39" t="str">
        <f ca="1">(TRUNC(AH69/12))&amp;"년 "&amp;(ROUNDDOWN(MOD(AH69,12),0))&amp;"개월"</f>
        <v>16년 6개월</v>
      </c>
      <c r="AJ69" s="88" t="s">
        <v>3420</v>
      </c>
      <c r="AK69" s="81" t="s">
        <v>3421</v>
      </c>
      <c r="AL69" s="62" t="s">
        <v>3422</v>
      </c>
      <c r="AM69" s="90"/>
      <c r="AN69" s="37" t="s">
        <v>3423</v>
      </c>
      <c r="AO69" s="54" t="s">
        <v>2041</v>
      </c>
      <c r="AP69" s="32"/>
      <c r="AQ69" s="32" t="s">
        <v>2190</v>
      </c>
      <c r="AR69" s="32"/>
      <c r="AS69" s="32"/>
      <c r="AT69" s="32"/>
      <c r="AU69" s="32"/>
      <c r="AV69" s="32"/>
      <c r="AW69" s="32"/>
      <c r="AX69" s="32"/>
      <c r="AY69" s="32"/>
      <c r="AZ69" s="32"/>
    </row>
    <row r="70" spans="1:52" ht="16.5" customHeight="1">
      <c r="A70" s="33" t="s">
        <v>680</v>
      </c>
      <c r="B70" s="86">
        <v>210604</v>
      </c>
      <c r="C70" s="81" t="s">
        <v>395</v>
      </c>
      <c r="D70" s="104" t="s">
        <v>3595</v>
      </c>
      <c r="E70" s="104"/>
      <c r="F70" s="86" t="s">
        <v>88</v>
      </c>
      <c r="G70" s="87"/>
      <c r="H70" s="83" t="s">
        <v>4134</v>
      </c>
      <c r="I70" s="82"/>
      <c r="J70" s="37" t="s">
        <v>3596</v>
      </c>
      <c r="K70" s="85">
        <v>44375</v>
      </c>
      <c r="L70" s="36"/>
      <c r="M70" s="85"/>
      <c r="N70" s="37" t="s">
        <v>153</v>
      </c>
      <c r="O70" s="37" t="s">
        <v>2602</v>
      </c>
      <c r="P70" s="37" t="s">
        <v>3597</v>
      </c>
      <c r="Q70" s="37" t="s">
        <v>1414</v>
      </c>
      <c r="R70" s="37" t="s">
        <v>209</v>
      </c>
      <c r="S70" s="36">
        <v>40228</v>
      </c>
      <c r="T70" s="37"/>
      <c r="U70" s="85"/>
      <c r="V70" s="37" t="s">
        <v>3598</v>
      </c>
      <c r="W70" s="85">
        <v>40112</v>
      </c>
      <c r="X70" s="37"/>
      <c r="Y70" s="85"/>
      <c r="Z70" s="37"/>
      <c r="AA70" s="37"/>
      <c r="AB70" s="37"/>
      <c r="AC70" s="37"/>
      <c r="AD70" s="39">
        <v>84</v>
      </c>
      <c r="AE70" s="86" t="str">
        <f>(TRUNC(AD70/12))&amp;"년 "&amp;(ROUNDDOWN(MOD(AD70,12),0))&amp;"개월"</f>
        <v>7년 0개월</v>
      </c>
      <c r="AF70" s="39">
        <f ca="1">($AL$1-K70)/30</f>
        <v>57.966666666666669</v>
      </c>
      <c r="AG70" s="86" t="str">
        <f ca="1">(TRUNC(AF70/12))&amp;"년 "&amp;(ROUNDDOWN(MOD(AF70,12),0))&amp;"개월"</f>
        <v>4년 9개월</v>
      </c>
      <c r="AH70" s="39">
        <f ca="1">+AD70+AF70</f>
        <v>141.96666666666667</v>
      </c>
      <c r="AI70" s="91" t="str">
        <f ca="1">(TRUNC(AH70/12))&amp;"년 "&amp;(ROUNDDOWN(MOD(AH70,12),0))&amp;"개월"</f>
        <v>11년 9개월</v>
      </c>
      <c r="AJ70" s="96" t="s">
        <v>3599</v>
      </c>
      <c r="AK70" s="86" t="s">
        <v>3600</v>
      </c>
      <c r="AL70" s="50" t="s">
        <v>3601</v>
      </c>
      <c r="AM70" s="37"/>
      <c r="AN70" s="37" t="s">
        <v>3602</v>
      </c>
      <c r="AO70" s="54" t="s">
        <v>950</v>
      </c>
      <c r="AP70" s="32"/>
      <c r="AQ70" s="32" t="s">
        <v>2190</v>
      </c>
      <c r="AR70" s="32"/>
      <c r="AS70" s="32"/>
      <c r="AT70" s="32"/>
      <c r="AU70" s="32"/>
      <c r="AV70" s="32"/>
      <c r="AW70" s="32"/>
      <c r="AX70" s="32"/>
      <c r="AY70" s="32"/>
      <c r="AZ70" s="32"/>
    </row>
    <row r="71" spans="1:52" ht="16.5" customHeight="1">
      <c r="A71" s="33" t="s">
        <v>623</v>
      </c>
      <c r="B71" s="86">
        <v>211104</v>
      </c>
      <c r="C71" s="81" t="s">
        <v>2051</v>
      </c>
      <c r="D71" s="104" t="s">
        <v>3643</v>
      </c>
      <c r="E71" s="104"/>
      <c r="F71" s="86" t="s">
        <v>228</v>
      </c>
      <c r="G71" s="87"/>
      <c r="H71" s="80" t="s">
        <v>4134</v>
      </c>
      <c r="I71" s="82"/>
      <c r="J71" s="86" t="s">
        <v>3644</v>
      </c>
      <c r="K71" s="85">
        <v>44522</v>
      </c>
      <c r="L71" s="36"/>
      <c r="M71" s="85"/>
      <c r="N71" s="37" t="s">
        <v>153</v>
      </c>
      <c r="O71" s="37" t="s">
        <v>1260</v>
      </c>
      <c r="P71" s="86" t="s">
        <v>869</v>
      </c>
      <c r="Q71" s="86" t="s">
        <v>964</v>
      </c>
      <c r="R71" s="37" t="s">
        <v>209</v>
      </c>
      <c r="S71" s="36">
        <v>38035</v>
      </c>
      <c r="T71" s="37" t="s">
        <v>275</v>
      </c>
      <c r="U71" s="85">
        <v>37963</v>
      </c>
      <c r="V71" s="37" t="s">
        <v>3645</v>
      </c>
      <c r="W71" s="85">
        <v>44421</v>
      </c>
      <c r="X71" s="37" t="s">
        <v>3646</v>
      </c>
      <c r="Y71" s="85">
        <v>44482</v>
      </c>
      <c r="Z71" s="37"/>
      <c r="AA71" s="37"/>
      <c r="AB71" s="86"/>
      <c r="AC71" s="37"/>
      <c r="AD71" s="39">
        <v>205</v>
      </c>
      <c r="AE71" s="86" t="str">
        <f>(TRUNC(AD71/12))&amp;"년 "&amp;(ROUNDDOWN(MOD(AD71,12),0))&amp;"개월"</f>
        <v>17년 1개월</v>
      </c>
      <c r="AF71" s="39">
        <f ca="1">($AL$1-K71)/30</f>
        <v>53.06666666666667</v>
      </c>
      <c r="AG71" s="86" t="str">
        <f ca="1">(TRUNC(AF71/12))&amp;"년 "&amp;(ROUNDDOWN(MOD(AF71,12),0))&amp;"개월"</f>
        <v>4년 5개월</v>
      </c>
      <c r="AH71" s="39">
        <f ca="1">+AD71+AF71</f>
        <v>258.06666666666666</v>
      </c>
      <c r="AI71" s="91" t="str">
        <f ca="1">(TRUNC(AH71/12))&amp;"년 "&amp;(ROUNDDOWN(MOD(AH71,12),0))&amp;"개월"</f>
        <v>21년 6개월</v>
      </c>
      <c r="AJ71" s="96" t="s">
        <v>3647</v>
      </c>
      <c r="AK71" s="86" t="s">
        <v>3648</v>
      </c>
      <c r="AL71" s="50" t="s">
        <v>3649</v>
      </c>
      <c r="AM71" s="37"/>
      <c r="AN71" s="37" t="s">
        <v>3650</v>
      </c>
      <c r="AO71" s="54" t="s">
        <v>3651</v>
      </c>
      <c r="AP71" s="32"/>
      <c r="AQ71" s="32" t="s">
        <v>2190</v>
      </c>
      <c r="AR71" s="32"/>
      <c r="AS71" s="32"/>
      <c r="AT71" s="32"/>
      <c r="AU71" s="32"/>
      <c r="AV71" s="32"/>
      <c r="AW71" s="32"/>
      <c r="AX71" s="32"/>
      <c r="AY71" s="32"/>
      <c r="AZ71" s="32"/>
    </row>
    <row r="72" spans="1:52" ht="16.5" customHeight="1">
      <c r="A72" s="33" t="s">
        <v>1978</v>
      </c>
      <c r="B72" s="86">
        <v>221003</v>
      </c>
      <c r="C72" s="86" t="s">
        <v>3816</v>
      </c>
      <c r="D72" s="104" t="s">
        <v>3817</v>
      </c>
      <c r="E72" s="104"/>
      <c r="F72" s="86" t="s">
        <v>51</v>
      </c>
      <c r="G72" s="86"/>
      <c r="H72" s="83" t="s">
        <v>4134</v>
      </c>
      <c r="I72" s="86" t="s">
        <v>3818</v>
      </c>
      <c r="J72" s="86" t="s">
        <v>3819</v>
      </c>
      <c r="K72" s="36">
        <v>44851</v>
      </c>
      <c r="L72" s="36"/>
      <c r="M72" s="86"/>
      <c r="N72" s="37" t="s">
        <v>153</v>
      </c>
      <c r="O72" s="37" t="s">
        <v>506</v>
      </c>
      <c r="P72" s="86" t="s">
        <v>2662</v>
      </c>
      <c r="Q72" s="86" t="s">
        <v>711</v>
      </c>
      <c r="R72" s="37" t="s">
        <v>209</v>
      </c>
      <c r="S72" s="36">
        <v>44426</v>
      </c>
      <c r="T72" s="37" t="s">
        <v>1113</v>
      </c>
      <c r="U72" s="100">
        <v>40422</v>
      </c>
      <c r="V72" s="37" t="s">
        <v>1250</v>
      </c>
      <c r="W72" s="85">
        <v>43868</v>
      </c>
      <c r="X72" s="37"/>
      <c r="Y72" s="86"/>
      <c r="Z72" s="37"/>
      <c r="AA72" s="37"/>
      <c r="AB72" s="86"/>
      <c r="AC72" s="37"/>
      <c r="AD72" s="39">
        <v>8</v>
      </c>
      <c r="AE72" s="87" t="str">
        <f>(TRUNC(AD72/12))&amp;"년 "&amp;(ROUNDDOWN(MOD(AD72,12),0))&amp;"개월"</f>
        <v>0년 8개월</v>
      </c>
      <c r="AF72" s="39">
        <f ca="1">($AL$1-K72)/30</f>
        <v>42.1</v>
      </c>
      <c r="AG72" s="91" t="str">
        <f ca="1">(TRUNC(AF72/12))&amp;"년 "&amp;(ROUNDDOWN(MOD(AF72,12),0))&amp;"개월"</f>
        <v>3년 6개월</v>
      </c>
      <c r="AH72" s="39">
        <f ca="1">+AD72+AF72</f>
        <v>50.1</v>
      </c>
      <c r="AI72" s="39" t="str">
        <f ca="1">(TRUNC(AH72/12))&amp;"년 "&amp;(ROUNDDOWN(MOD(AH72,12),0))&amp;"개월"</f>
        <v>4년 2개월</v>
      </c>
      <c r="AJ72" s="96" t="s">
        <v>3820</v>
      </c>
      <c r="AK72" s="86" t="s">
        <v>3821</v>
      </c>
      <c r="AL72" s="96" t="s">
        <v>3822</v>
      </c>
      <c r="AM72" s="37"/>
      <c r="AN72" s="37" t="s">
        <v>3823</v>
      </c>
      <c r="AO72" s="86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</row>
    <row r="73" spans="1:52" ht="16.5" customHeight="1">
      <c r="A73" s="33" t="s">
        <v>2070</v>
      </c>
      <c r="B73" s="86">
        <v>221202</v>
      </c>
      <c r="C73" s="86" t="s">
        <v>2513</v>
      </c>
      <c r="D73" s="104" t="s">
        <v>3849</v>
      </c>
      <c r="E73" s="104"/>
      <c r="F73" s="86" t="s">
        <v>34</v>
      </c>
      <c r="G73" s="86"/>
      <c r="H73" s="83" t="s">
        <v>4134</v>
      </c>
      <c r="I73" s="86"/>
      <c r="J73" s="86" t="s">
        <v>3850</v>
      </c>
      <c r="K73" s="36">
        <v>44896</v>
      </c>
      <c r="L73" s="36"/>
      <c r="M73" s="86"/>
      <c r="N73" s="37" t="s">
        <v>146</v>
      </c>
      <c r="O73" s="37" t="s">
        <v>3851</v>
      </c>
      <c r="P73" s="86" t="s">
        <v>3852</v>
      </c>
      <c r="Q73" s="86" t="s">
        <v>721</v>
      </c>
      <c r="R73" s="37" t="s">
        <v>265</v>
      </c>
      <c r="S73" s="85">
        <v>39121</v>
      </c>
      <c r="T73" s="37"/>
      <c r="U73" s="86"/>
      <c r="V73" s="37"/>
      <c r="W73" s="86"/>
      <c r="X73" s="37"/>
      <c r="Y73" s="86"/>
      <c r="Z73" s="37"/>
      <c r="AA73" s="37"/>
      <c r="AB73" s="86"/>
      <c r="AC73" s="37"/>
      <c r="AD73" s="39">
        <v>160</v>
      </c>
      <c r="AE73" s="87" t="str">
        <f>(TRUNC(AD73/12))&amp;"년 "&amp;(ROUNDDOWN(MOD(AD73,12),0))&amp;"개월"</f>
        <v>13년 4개월</v>
      </c>
      <c r="AF73" s="39">
        <f ca="1">($AL$1-K73)/30</f>
        <v>40.6</v>
      </c>
      <c r="AG73" s="91" t="str">
        <f ca="1">(TRUNC(AF73/12))&amp;"년 "&amp;(ROUNDDOWN(MOD(AF73,12),0))&amp;"개월"</f>
        <v>3년 4개월</v>
      </c>
      <c r="AH73" s="39">
        <f ca="1">+AD73+AF73</f>
        <v>200.6</v>
      </c>
      <c r="AI73" s="39" t="str">
        <f ca="1">(TRUNC(AH73/12))&amp;"년 "&amp;(ROUNDDOWN(MOD(AH73,12),0))&amp;"개월"</f>
        <v>16년 8개월</v>
      </c>
      <c r="AJ73" s="96" t="s">
        <v>3853</v>
      </c>
      <c r="AK73" s="86" t="s">
        <v>3854</v>
      </c>
      <c r="AL73" s="96" t="s">
        <v>3855</v>
      </c>
      <c r="AM73" s="37"/>
      <c r="AN73" s="37" t="s">
        <v>3856</v>
      </c>
      <c r="AO73" s="86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</row>
    <row r="74" spans="1:52" ht="16.5" customHeight="1">
      <c r="A74" s="33" t="s">
        <v>2087</v>
      </c>
      <c r="B74" s="86">
        <v>221201</v>
      </c>
      <c r="C74" s="86" t="s">
        <v>193</v>
      </c>
      <c r="D74" s="104" t="s">
        <v>3857</v>
      </c>
      <c r="E74" s="104"/>
      <c r="F74" s="86" t="s">
        <v>139</v>
      </c>
      <c r="G74" s="86"/>
      <c r="H74" s="83" t="s">
        <v>4134</v>
      </c>
      <c r="I74" s="86"/>
      <c r="J74" s="86" t="s">
        <v>3858</v>
      </c>
      <c r="K74" s="36">
        <v>44896</v>
      </c>
      <c r="L74" s="36"/>
      <c r="M74" s="86"/>
      <c r="N74" s="37" t="s">
        <v>196</v>
      </c>
      <c r="O74" s="37" t="s">
        <v>3859</v>
      </c>
      <c r="P74" s="86" t="s">
        <v>2582</v>
      </c>
      <c r="Q74" s="86" t="s">
        <v>2524</v>
      </c>
      <c r="R74" s="37" t="s">
        <v>198</v>
      </c>
      <c r="S74" s="85">
        <v>35489</v>
      </c>
      <c r="T74" s="37"/>
      <c r="U74" s="86"/>
      <c r="V74" s="37"/>
      <c r="W74" s="86"/>
      <c r="X74" s="37"/>
      <c r="Y74" s="86"/>
      <c r="Z74" s="37"/>
      <c r="AA74" s="37"/>
      <c r="AB74" s="86"/>
      <c r="AC74" s="37"/>
      <c r="AD74" s="39">
        <v>187</v>
      </c>
      <c r="AE74" s="87" t="str">
        <f>(TRUNC(AD74/12))&amp;"년 "&amp;(ROUNDDOWN(MOD(AD74,12),0))&amp;"개월"</f>
        <v>15년 7개월</v>
      </c>
      <c r="AF74" s="39">
        <f ca="1">($AL$1-K74)/30</f>
        <v>40.6</v>
      </c>
      <c r="AG74" s="91" t="str">
        <f ca="1">(TRUNC(AF74/12))&amp;"년 "&amp;(ROUNDDOWN(MOD(AF74,12),0))&amp;"개월"</f>
        <v>3년 4개월</v>
      </c>
      <c r="AH74" s="39">
        <f ca="1">+AD74+AF74</f>
        <v>227.6</v>
      </c>
      <c r="AI74" s="91" t="str">
        <f ca="1">(TRUNC(AH74/12))&amp;"년 "&amp;(ROUNDDOWN(MOD(AH74,12),0))&amp;"개월"</f>
        <v>18년 11개월</v>
      </c>
      <c r="AJ74" s="96" t="s">
        <v>3860</v>
      </c>
      <c r="AK74" s="86" t="s">
        <v>3861</v>
      </c>
      <c r="AL74" s="96" t="s">
        <v>3862</v>
      </c>
      <c r="AM74" s="37"/>
      <c r="AN74" s="37" t="s">
        <v>3863</v>
      </c>
      <c r="AO74" s="86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</row>
    <row r="75" spans="1:52" ht="16.5" customHeight="1">
      <c r="A75" s="33" t="s">
        <v>2625</v>
      </c>
      <c r="B75" s="86">
        <v>230204</v>
      </c>
      <c r="C75" s="86" t="s">
        <v>2513</v>
      </c>
      <c r="D75" s="104" t="s">
        <v>1268</v>
      </c>
      <c r="E75" s="104"/>
      <c r="F75" s="37" t="s">
        <v>51</v>
      </c>
      <c r="G75" s="86"/>
      <c r="H75" s="83" t="s">
        <v>4134</v>
      </c>
      <c r="I75" s="86"/>
      <c r="J75" s="37" t="s">
        <v>3887</v>
      </c>
      <c r="K75" s="36">
        <v>44963</v>
      </c>
      <c r="L75" s="36"/>
      <c r="M75" s="86"/>
      <c r="N75" s="37" t="s">
        <v>448</v>
      </c>
      <c r="O75" s="37" t="s">
        <v>3888</v>
      </c>
      <c r="P75" s="37" t="s">
        <v>3889</v>
      </c>
      <c r="Q75" s="37" t="s">
        <v>711</v>
      </c>
      <c r="R75" s="37" t="s">
        <v>448</v>
      </c>
      <c r="S75" s="100">
        <v>43497</v>
      </c>
      <c r="T75" s="37"/>
      <c r="U75" s="86"/>
      <c r="V75" s="37"/>
      <c r="W75" s="86"/>
      <c r="X75" s="37"/>
      <c r="Y75" s="86"/>
      <c r="Z75" s="37"/>
      <c r="AA75" s="37"/>
      <c r="AB75" s="37"/>
      <c r="AC75" s="37"/>
      <c r="AD75" s="39">
        <v>25</v>
      </c>
      <c r="AE75" s="87" t="str">
        <f>(TRUNC(AD75/12))&amp;"년 "&amp;(ROUNDDOWN(MOD(AD75,12),0))&amp;"개월"</f>
        <v>2년 1개월</v>
      </c>
      <c r="AF75" s="39">
        <f ca="1">($AL$1-K75)/30</f>
        <v>38.366666666666667</v>
      </c>
      <c r="AG75" s="91" t="str">
        <f ca="1">(TRUNC(AF75/12))&amp;"년 "&amp;(ROUNDDOWN(MOD(AF75,12),0))&amp;"개월"</f>
        <v>3년 2개월</v>
      </c>
      <c r="AH75" s="39">
        <f ca="1">+AD75+AF75</f>
        <v>63.366666666666667</v>
      </c>
      <c r="AI75" s="91" t="str">
        <f ca="1">(TRUNC(AH75/12))&amp;"년 "&amp;(ROUNDDOWN(MOD(AH75,12),0))&amp;"개월"</f>
        <v>5년 3개월</v>
      </c>
      <c r="AJ75" s="96" t="s">
        <v>3890</v>
      </c>
      <c r="AK75" s="37" t="s">
        <v>3891</v>
      </c>
      <c r="AL75" s="96" t="s">
        <v>3892</v>
      </c>
      <c r="AM75" s="37"/>
      <c r="AN75" s="37" t="s">
        <v>3893</v>
      </c>
      <c r="AO75" s="86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</row>
    <row r="76" spans="1:52" ht="15" customHeight="1">
      <c r="A76" s="33" t="s">
        <v>1876</v>
      </c>
      <c r="B76" s="86">
        <v>221002</v>
      </c>
      <c r="C76" s="86" t="s">
        <v>511</v>
      </c>
      <c r="D76" s="104" t="s">
        <v>3805</v>
      </c>
      <c r="E76" s="104"/>
      <c r="F76" s="86" t="s">
        <v>34</v>
      </c>
      <c r="G76" s="86"/>
      <c r="H76" s="83" t="s">
        <v>4111</v>
      </c>
      <c r="I76" s="86" t="s">
        <v>2428</v>
      </c>
      <c r="J76" s="86" t="s">
        <v>3806</v>
      </c>
      <c r="K76" s="36">
        <v>44838</v>
      </c>
      <c r="L76" s="36"/>
      <c r="M76" s="86"/>
      <c r="N76" s="37" t="s">
        <v>153</v>
      </c>
      <c r="O76" s="37" t="s">
        <v>1132</v>
      </c>
      <c r="P76" s="86" t="s">
        <v>2662</v>
      </c>
      <c r="Q76" s="86" t="s">
        <v>964</v>
      </c>
      <c r="R76" s="37" t="s">
        <v>209</v>
      </c>
      <c r="S76" s="36">
        <v>39311</v>
      </c>
      <c r="T76" s="37"/>
      <c r="U76" s="86"/>
      <c r="V76" s="37"/>
      <c r="W76" s="86"/>
      <c r="X76" s="37"/>
      <c r="Y76" s="37"/>
      <c r="Z76" s="37"/>
      <c r="AA76" s="37"/>
      <c r="AB76" s="86"/>
      <c r="AC76" s="37"/>
      <c r="AD76" s="39">
        <v>135</v>
      </c>
      <c r="AE76" s="87" t="str">
        <f>(TRUNC(AD76/12))&amp;"년 "&amp;(ROUNDDOWN(MOD(AD76,12),0))&amp;"개월"</f>
        <v>11년 3개월</v>
      </c>
      <c r="AF76" s="39">
        <f ca="1">($AL$1-K76)/30</f>
        <v>42.533333333333331</v>
      </c>
      <c r="AG76" s="91" t="str">
        <f ca="1">(TRUNC(AF76/12))&amp;"년 "&amp;(ROUNDDOWN(MOD(AF76,12),0))&amp;"개월"</f>
        <v>3년 6개월</v>
      </c>
      <c r="AH76" s="39">
        <f ca="1">+AD76+AF76</f>
        <v>177.53333333333333</v>
      </c>
      <c r="AI76" s="91" t="str">
        <f ca="1">(TRUNC(AH76/12))&amp;"년 "&amp;(ROUNDDOWN(MOD(AH76,12),0))&amp;"개월"</f>
        <v>14년 9개월</v>
      </c>
      <c r="AJ76" s="96" t="s">
        <v>3807</v>
      </c>
      <c r="AK76" s="86" t="s">
        <v>3808</v>
      </c>
      <c r="AL76" s="96" t="s">
        <v>3809</v>
      </c>
      <c r="AM76" s="37"/>
      <c r="AN76" s="37" t="s">
        <v>3459</v>
      </c>
      <c r="AO76" s="86"/>
      <c r="AP76" s="32"/>
      <c r="AQ76" s="32" t="s">
        <v>2190</v>
      </c>
      <c r="AR76" s="32"/>
      <c r="AS76" s="32"/>
      <c r="AT76" s="32"/>
      <c r="AU76" s="32"/>
      <c r="AV76" s="32"/>
      <c r="AW76" s="32"/>
      <c r="AX76" s="32"/>
      <c r="AY76" s="32"/>
      <c r="AZ76" s="32"/>
    </row>
    <row r="77" spans="1:52" ht="16.5" customHeight="1">
      <c r="A77" s="33" t="s">
        <v>42</v>
      </c>
      <c r="B77" s="81" t="s">
        <v>3166</v>
      </c>
      <c r="C77" s="33" t="s">
        <v>924</v>
      </c>
      <c r="D77" s="108" t="s">
        <v>3167</v>
      </c>
      <c r="E77" s="108">
        <v>1</v>
      </c>
      <c r="F77" s="82" t="s">
        <v>34</v>
      </c>
      <c r="G77" s="87" t="s">
        <v>3168</v>
      </c>
      <c r="H77" s="83" t="s">
        <v>2463</v>
      </c>
      <c r="I77" s="86" t="s">
        <v>3984</v>
      </c>
      <c r="J77" s="84" t="s">
        <v>3169</v>
      </c>
      <c r="K77" s="36">
        <v>39083</v>
      </c>
      <c r="L77" s="36">
        <v>42005</v>
      </c>
      <c r="M77" s="36"/>
      <c r="N77" s="37" t="s">
        <v>153</v>
      </c>
      <c r="O77" s="37" t="s">
        <v>3170</v>
      </c>
      <c r="P77" s="87" t="s">
        <v>560</v>
      </c>
      <c r="Q77" s="87"/>
      <c r="R77" s="37" t="s">
        <v>209</v>
      </c>
      <c r="S77" s="36">
        <v>38772</v>
      </c>
      <c r="T77" s="37" t="s">
        <v>275</v>
      </c>
      <c r="U77" s="85">
        <v>38873</v>
      </c>
      <c r="V77" s="37"/>
      <c r="W77" s="85"/>
      <c r="X77" s="37"/>
      <c r="Y77" s="86"/>
      <c r="Z77" s="37" t="s">
        <v>199</v>
      </c>
      <c r="AA77" s="37" t="s">
        <v>211</v>
      </c>
      <c r="AB77" s="85">
        <v>40756</v>
      </c>
      <c r="AC77" s="37" t="s">
        <v>230</v>
      </c>
      <c r="AD77" s="91">
        <v>0</v>
      </c>
      <c r="AE77" s="87" t="str">
        <f>(TRUNC(AD77/12))&amp;"년 "&amp;(ROUNDDOWN(MOD(AD77,12),0))&amp;"개월"</f>
        <v>0년 0개월</v>
      </c>
      <c r="AF77" s="39">
        <f ca="1">($AL$1-K77)/30</f>
        <v>234.36666666666667</v>
      </c>
      <c r="AG77" s="39" t="str">
        <f ca="1">(TRUNC(AF77/12))&amp;"년 "&amp;(ROUNDDOWN(MOD(AF77,12),0))&amp;"개월"</f>
        <v>19년 6개월</v>
      </c>
      <c r="AH77" s="39">
        <f ca="1">+AD77+AF77</f>
        <v>234.36666666666667</v>
      </c>
      <c r="AI77" s="39" t="str">
        <f ca="1">(TRUNC(AH77/12))&amp;"년 "&amp;(ROUNDDOWN(MOD(AH77,12),0))&amp;"개월"</f>
        <v>19년 6개월</v>
      </c>
      <c r="AJ77" s="88" t="s">
        <v>3171</v>
      </c>
      <c r="AK77" s="81" t="s">
        <v>3172</v>
      </c>
      <c r="AL77" s="96" t="s">
        <v>3173</v>
      </c>
      <c r="AM77" s="37">
        <v>2647</v>
      </c>
      <c r="AN77" s="37" t="s">
        <v>3174</v>
      </c>
      <c r="AO77" s="54">
        <v>7.21</v>
      </c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</row>
    <row r="78" spans="1:52" ht="16.5" customHeight="1">
      <c r="A78" s="33" t="s">
        <v>80</v>
      </c>
      <c r="B78" s="81" t="s">
        <v>3202</v>
      </c>
      <c r="C78" s="81" t="s">
        <v>193</v>
      </c>
      <c r="D78" s="108" t="s">
        <v>3203</v>
      </c>
      <c r="E78" s="108">
        <v>1</v>
      </c>
      <c r="F78" s="82" t="s">
        <v>34</v>
      </c>
      <c r="G78" s="87" t="s">
        <v>3204</v>
      </c>
      <c r="H78" s="83" t="s">
        <v>2463</v>
      </c>
      <c r="I78" s="86" t="s">
        <v>3984</v>
      </c>
      <c r="J78" s="84" t="s">
        <v>3205</v>
      </c>
      <c r="K78" s="36">
        <v>40513</v>
      </c>
      <c r="L78" s="36">
        <v>43891</v>
      </c>
      <c r="M78" s="36"/>
      <c r="N78" s="37" t="s">
        <v>153</v>
      </c>
      <c r="O78" s="37" t="s">
        <v>1981</v>
      </c>
      <c r="P78" s="87" t="s">
        <v>457</v>
      </c>
      <c r="Q78" s="87"/>
      <c r="R78" s="37" t="s">
        <v>209</v>
      </c>
      <c r="S78" s="36">
        <v>39491</v>
      </c>
      <c r="T78" s="37" t="s">
        <v>275</v>
      </c>
      <c r="U78" s="85">
        <v>39433</v>
      </c>
      <c r="V78" s="37"/>
      <c r="W78" s="85"/>
      <c r="X78" s="37"/>
      <c r="Y78" s="86"/>
      <c r="Z78" s="37" t="s">
        <v>230</v>
      </c>
      <c r="AA78" s="37" t="s">
        <v>211</v>
      </c>
      <c r="AB78" s="85">
        <v>40098</v>
      </c>
      <c r="AC78" s="37" t="s">
        <v>276</v>
      </c>
      <c r="AD78" s="91">
        <v>25</v>
      </c>
      <c r="AE78" s="87" t="str">
        <f>(TRUNC(AD78/12))&amp;"년 "&amp;(ROUNDDOWN(MOD(AD78,12),0))&amp;"개월"</f>
        <v>2년 1개월</v>
      </c>
      <c r="AF78" s="39">
        <f ca="1">($AL$1-K78)/30</f>
        <v>186.7</v>
      </c>
      <c r="AG78" s="39" t="str">
        <f ca="1">(TRUNC(AF78/12))&amp;"년 "&amp;(ROUNDDOWN(MOD(AF78,12),0))&amp;"개월"</f>
        <v>15년 6개월</v>
      </c>
      <c r="AH78" s="39">
        <f ca="1">+AD78+AF78</f>
        <v>211.7</v>
      </c>
      <c r="AI78" s="39" t="str">
        <f ca="1">(TRUNC(AH78/12))&amp;"년 "&amp;(ROUNDDOWN(MOD(AH78,12),0))&amp;"개월"</f>
        <v>17년 7개월</v>
      </c>
      <c r="AJ78" s="88" t="s">
        <v>3206</v>
      </c>
      <c r="AK78" s="81" t="s">
        <v>3207</v>
      </c>
      <c r="AL78" s="96" t="s">
        <v>3208</v>
      </c>
      <c r="AM78" s="37">
        <v>2614</v>
      </c>
      <c r="AN78" s="37" t="s">
        <v>3209</v>
      </c>
      <c r="AO78" s="54">
        <v>2.2799999999999998</v>
      </c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</row>
    <row r="79" spans="1:52" ht="16.5" customHeight="1">
      <c r="A79" s="33" t="s">
        <v>86</v>
      </c>
      <c r="B79" s="81" t="s">
        <v>3210</v>
      </c>
      <c r="C79" s="33" t="s">
        <v>2051</v>
      </c>
      <c r="D79" s="108" t="s">
        <v>3211</v>
      </c>
      <c r="E79" s="108">
        <v>1</v>
      </c>
      <c r="F79" s="82" t="s">
        <v>228</v>
      </c>
      <c r="G79" s="87" t="s">
        <v>3212</v>
      </c>
      <c r="H79" s="83" t="s">
        <v>2463</v>
      </c>
      <c r="I79" s="86"/>
      <c r="J79" s="84" t="s">
        <v>3213</v>
      </c>
      <c r="K79" s="85">
        <v>40544</v>
      </c>
      <c r="L79" s="85">
        <v>44228</v>
      </c>
      <c r="M79" s="36"/>
      <c r="N79" s="86" t="s">
        <v>448</v>
      </c>
      <c r="O79" s="86"/>
      <c r="P79" s="87"/>
      <c r="Q79" s="87"/>
      <c r="R79" s="86" t="s">
        <v>448</v>
      </c>
      <c r="S79" s="85"/>
      <c r="T79" s="86"/>
      <c r="U79" s="85"/>
      <c r="V79" s="86" t="s">
        <v>526</v>
      </c>
      <c r="W79" s="85">
        <v>37708</v>
      </c>
      <c r="X79" s="86"/>
      <c r="Y79" s="86"/>
      <c r="Z79" s="86" t="s">
        <v>210</v>
      </c>
      <c r="AA79" s="86" t="s">
        <v>211</v>
      </c>
      <c r="AB79" s="85"/>
      <c r="AC79" s="86"/>
      <c r="AD79" s="91">
        <v>64</v>
      </c>
      <c r="AE79" s="87" t="str">
        <f>(TRUNC(AD79/12))&amp;"년 "&amp;(ROUNDDOWN(MOD(AD79,12),0))&amp;"개월"</f>
        <v>5년 4개월</v>
      </c>
      <c r="AF79" s="91">
        <f ca="1">($AL$1-K79)/30</f>
        <v>185.66666666666666</v>
      </c>
      <c r="AG79" s="91" t="str">
        <f ca="1">(TRUNC(AF79/12))&amp;"년 "&amp;(ROUNDDOWN(MOD(AF79,12),0))&amp;"개월"</f>
        <v>15년 5개월</v>
      </c>
      <c r="AH79" s="91">
        <f ca="1">+AD79+AF79</f>
        <v>249.66666666666666</v>
      </c>
      <c r="AI79" s="91" t="str">
        <f ca="1">(TRUNC(AH79/12))&amp;"년 "&amp;(ROUNDDOWN(MOD(AH79,12),0))&amp;"개월"</f>
        <v>20년 9개월</v>
      </c>
      <c r="AJ79" s="88" t="s">
        <v>3214</v>
      </c>
      <c r="AK79" s="81" t="s">
        <v>3215</v>
      </c>
      <c r="AL79" s="50" t="s">
        <v>3216</v>
      </c>
      <c r="AM79" s="86"/>
      <c r="AN79" s="86" t="s">
        <v>3217</v>
      </c>
      <c r="AO79" s="54" t="s">
        <v>3218</v>
      </c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</row>
    <row r="80" spans="1:52" ht="16.5" customHeight="1">
      <c r="A80" s="33" t="s">
        <v>103</v>
      </c>
      <c r="B80" s="81" t="s">
        <v>3248</v>
      </c>
      <c r="C80" s="33" t="s">
        <v>924</v>
      </c>
      <c r="D80" s="108" t="s">
        <v>3249</v>
      </c>
      <c r="E80" s="108">
        <v>1</v>
      </c>
      <c r="F80" s="82" t="s">
        <v>88</v>
      </c>
      <c r="G80" s="87" t="s">
        <v>3250</v>
      </c>
      <c r="H80" s="83" t="s">
        <v>2463</v>
      </c>
      <c r="I80" s="82" t="s">
        <v>1221</v>
      </c>
      <c r="J80" s="84" t="s">
        <v>3251</v>
      </c>
      <c r="K80" s="36">
        <v>40917</v>
      </c>
      <c r="L80" s="36">
        <v>43313</v>
      </c>
      <c r="M80" s="36"/>
      <c r="N80" s="86" t="s">
        <v>153</v>
      </c>
      <c r="O80" s="86" t="s">
        <v>3233</v>
      </c>
      <c r="P80" s="87" t="s">
        <v>319</v>
      </c>
      <c r="Q80" s="87"/>
      <c r="R80" s="86" t="s">
        <v>209</v>
      </c>
      <c r="S80" s="85"/>
      <c r="T80" s="37" t="s">
        <v>275</v>
      </c>
      <c r="U80" s="86">
        <v>2012</v>
      </c>
      <c r="V80" s="37" t="s">
        <v>576</v>
      </c>
      <c r="W80" s="86">
        <v>2011</v>
      </c>
      <c r="X80" s="37" t="s">
        <v>2717</v>
      </c>
      <c r="Y80" s="85">
        <v>44602</v>
      </c>
      <c r="Z80" s="37" t="s">
        <v>276</v>
      </c>
      <c r="AA80" s="37" t="s">
        <v>211</v>
      </c>
      <c r="AB80" s="85"/>
      <c r="AC80" s="37" t="s">
        <v>210</v>
      </c>
      <c r="AD80" s="39">
        <v>0</v>
      </c>
      <c r="AE80" s="86" t="str">
        <f>(TRUNC(AD80/12))&amp;"년 "&amp;(ROUNDDOWN(MOD(AD80,12),0))&amp;"개월"</f>
        <v>0년 0개월</v>
      </c>
      <c r="AF80" s="39">
        <f ca="1">($AL$1-K80)/30</f>
        <v>173.23333333333332</v>
      </c>
      <c r="AG80" s="39" t="str">
        <f ca="1">(TRUNC(AF80/12))&amp;"년 "&amp;(ROUNDDOWN(MOD(AF80,12),0))&amp;"개월"</f>
        <v>14년 5개월</v>
      </c>
      <c r="AH80" s="39">
        <f ca="1">+AD80+AF80</f>
        <v>173.23333333333332</v>
      </c>
      <c r="AI80" s="39" t="str">
        <f ca="1">(TRUNC(AH80/12))&amp;"년 "&amp;(ROUNDDOWN(MOD(AH80,12),0))&amp;"개월"</f>
        <v>14년 5개월</v>
      </c>
      <c r="AJ80" s="88" t="s">
        <v>3252</v>
      </c>
      <c r="AK80" s="81" t="s">
        <v>3253</v>
      </c>
      <c r="AL80" s="96" t="s">
        <v>3254</v>
      </c>
      <c r="AM80" s="86">
        <v>2628</v>
      </c>
      <c r="AN80" s="37" t="s">
        <v>3255</v>
      </c>
      <c r="AO80" s="54">
        <v>1.02</v>
      </c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</row>
    <row r="81" spans="1:52" ht="16.5" customHeight="1">
      <c r="A81" s="33" t="s">
        <v>148</v>
      </c>
      <c r="B81" s="81" t="s">
        <v>3340</v>
      </c>
      <c r="C81" s="33" t="s">
        <v>193</v>
      </c>
      <c r="D81" s="108" t="s">
        <v>3341</v>
      </c>
      <c r="E81" s="108">
        <v>1</v>
      </c>
      <c r="F81" s="82" t="s">
        <v>44</v>
      </c>
      <c r="G81" s="82" t="s">
        <v>3342</v>
      </c>
      <c r="H81" s="83" t="s">
        <v>2463</v>
      </c>
      <c r="I81" s="34" t="s">
        <v>1221</v>
      </c>
      <c r="J81" s="84" t="s">
        <v>3343</v>
      </c>
      <c r="K81" s="36">
        <v>42786</v>
      </c>
      <c r="L81" s="36">
        <v>44228</v>
      </c>
      <c r="M81" s="36"/>
      <c r="N81" s="37" t="s">
        <v>153</v>
      </c>
      <c r="O81" s="37" t="s">
        <v>2541</v>
      </c>
      <c r="P81" s="87" t="s">
        <v>3344</v>
      </c>
      <c r="Q81" s="87" t="s">
        <v>711</v>
      </c>
      <c r="R81" s="37" t="s">
        <v>209</v>
      </c>
      <c r="S81" s="36">
        <v>42772</v>
      </c>
      <c r="T81" s="37"/>
      <c r="U81" s="85"/>
      <c r="V81" s="37" t="s">
        <v>405</v>
      </c>
      <c r="W81" s="85"/>
      <c r="X81" s="37"/>
      <c r="Y81" s="36"/>
      <c r="Z81" s="37"/>
      <c r="AA81" s="37"/>
      <c r="AB81" s="85"/>
      <c r="AC81" s="37"/>
      <c r="AD81" s="39"/>
      <c r="AE81" s="87" t="str">
        <f>(TRUNC(AD81/12))&amp;"년 "&amp;(ROUNDDOWN(MOD(AD81,12),0))&amp;"개월"</f>
        <v>0년 0개월</v>
      </c>
      <c r="AF81" s="39">
        <f ca="1">(재직자!$AL$1-K81)/30</f>
        <v>110.93333333333334</v>
      </c>
      <c r="AG81" s="39" t="str">
        <f ca="1">(TRUNC(AF81/12))&amp;"년 "&amp;(ROUNDDOWN(MOD(AF81,12),0))&amp;"개월"</f>
        <v>9년 2개월</v>
      </c>
      <c r="AH81" s="39">
        <f ca="1">+AD81+AF81</f>
        <v>110.93333333333334</v>
      </c>
      <c r="AI81" s="39" t="str">
        <f ca="1">(TRUNC(AH81/12))&amp;"년 "&amp;(ROUNDDOWN(MOD(AH81,12),0))&amp;"개월"</f>
        <v>9년 2개월</v>
      </c>
      <c r="AJ81" s="88" t="s">
        <v>3345</v>
      </c>
      <c r="AK81" s="81" t="s">
        <v>3346</v>
      </c>
      <c r="AL81" s="62" t="s">
        <v>3347</v>
      </c>
      <c r="AM81" s="86"/>
      <c r="AN81" s="37" t="s">
        <v>3348</v>
      </c>
      <c r="AO81" s="54" t="s">
        <v>3349</v>
      </c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</row>
    <row r="82" spans="1:52" ht="16.5" customHeight="1">
      <c r="A82" s="33" t="s">
        <v>169</v>
      </c>
      <c r="B82" s="81" t="s">
        <v>3372</v>
      </c>
      <c r="C82" s="33" t="s">
        <v>193</v>
      </c>
      <c r="D82" s="108" t="s">
        <v>3373</v>
      </c>
      <c r="E82" s="108">
        <v>1</v>
      </c>
      <c r="F82" s="82" t="s">
        <v>34</v>
      </c>
      <c r="G82" s="87" t="s">
        <v>3374</v>
      </c>
      <c r="H82" s="83" t="s">
        <v>2463</v>
      </c>
      <c r="I82" s="34"/>
      <c r="J82" s="84" t="s">
        <v>3375</v>
      </c>
      <c r="K82" s="36">
        <v>43304</v>
      </c>
      <c r="L82" s="36">
        <v>44228</v>
      </c>
      <c r="M82" s="36"/>
      <c r="N82" s="37" t="s">
        <v>153</v>
      </c>
      <c r="O82" s="37" t="s">
        <v>3376</v>
      </c>
      <c r="P82" s="87" t="s">
        <v>457</v>
      </c>
      <c r="Q82" s="87" t="s">
        <v>2036</v>
      </c>
      <c r="R82" s="37" t="s">
        <v>209</v>
      </c>
      <c r="S82" s="36">
        <v>40223</v>
      </c>
      <c r="T82" s="37" t="s">
        <v>275</v>
      </c>
      <c r="U82" s="85">
        <v>40643</v>
      </c>
      <c r="V82" s="37" t="s">
        <v>764</v>
      </c>
      <c r="W82" s="86"/>
      <c r="X82" s="37"/>
      <c r="Y82" s="86"/>
      <c r="Z82" s="37"/>
      <c r="AA82" s="86"/>
      <c r="AB82" s="85"/>
      <c r="AC82" s="37"/>
      <c r="AD82" s="39">
        <v>99</v>
      </c>
      <c r="AE82" s="87" t="str">
        <f>(TRUNC(AD82/12))&amp;"년 "&amp;(ROUNDDOWN(MOD(AD82,12),0))&amp;"개월"</f>
        <v>8년 3개월</v>
      </c>
      <c r="AF82" s="39">
        <f ca="1">($AL$1-K82)/30</f>
        <v>93.666666666666671</v>
      </c>
      <c r="AG82" s="91" t="str">
        <f ca="1">(TRUNC(AF82/12))&amp;"년 "&amp;(ROUNDDOWN(MOD(AF82,12),0))&amp;"개월"</f>
        <v>7년 9개월</v>
      </c>
      <c r="AH82" s="39">
        <f ca="1">+AD82+AF82</f>
        <v>192.66666666666669</v>
      </c>
      <c r="AI82" s="39" t="str">
        <f ca="1">(TRUNC(AH82/12))&amp;"년 "&amp;(ROUNDDOWN(MOD(AH82,12),0))&amp;"개월"</f>
        <v>16년 0개월</v>
      </c>
      <c r="AJ82" s="88" t="s">
        <v>3377</v>
      </c>
      <c r="AK82" s="81" t="s">
        <v>3378</v>
      </c>
      <c r="AL82" s="50" t="s">
        <v>3379</v>
      </c>
      <c r="AM82" s="86"/>
      <c r="AN82" s="37" t="s">
        <v>3380</v>
      </c>
      <c r="AO82" s="54" t="s">
        <v>3381</v>
      </c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</row>
    <row r="83" spans="1:52" ht="15.75" customHeight="1">
      <c r="A83" s="33" t="s">
        <v>179</v>
      </c>
      <c r="B83" s="81" t="s">
        <v>1784</v>
      </c>
      <c r="C83" s="33" t="s">
        <v>193</v>
      </c>
      <c r="D83" s="108" t="s">
        <v>3383</v>
      </c>
      <c r="E83" s="108">
        <v>1</v>
      </c>
      <c r="F83" s="82" t="s">
        <v>44</v>
      </c>
      <c r="G83" s="82" t="s">
        <v>3384</v>
      </c>
      <c r="H83" s="83" t="s">
        <v>2463</v>
      </c>
      <c r="I83" s="34"/>
      <c r="J83" s="84" t="s">
        <v>3385</v>
      </c>
      <c r="K83" s="36">
        <v>43377</v>
      </c>
      <c r="L83" s="36">
        <v>43891</v>
      </c>
      <c r="M83" s="36"/>
      <c r="N83" s="37" t="s">
        <v>153</v>
      </c>
      <c r="O83" s="37" t="s">
        <v>2867</v>
      </c>
      <c r="P83" s="87" t="s">
        <v>264</v>
      </c>
      <c r="Q83" s="87" t="s">
        <v>711</v>
      </c>
      <c r="R83" s="37" t="s">
        <v>209</v>
      </c>
      <c r="S83" s="36">
        <v>36582</v>
      </c>
      <c r="T83" s="37"/>
      <c r="U83" s="85"/>
      <c r="V83" s="37" t="s">
        <v>405</v>
      </c>
      <c r="W83" s="85">
        <v>41425</v>
      </c>
      <c r="X83" s="37"/>
      <c r="Y83" s="85"/>
      <c r="Z83" s="37"/>
      <c r="AA83" s="37"/>
      <c r="AB83" s="85"/>
      <c r="AC83" s="37"/>
      <c r="AD83" s="39">
        <v>36</v>
      </c>
      <c r="AE83" s="87" t="str">
        <f>(TRUNC(AD83/12))&amp;"년 "&amp;(ROUNDDOWN(MOD(AD83,12),0))&amp;"개월"</f>
        <v>3년 0개월</v>
      </c>
      <c r="AF83" s="39">
        <f ca="1">(재직자!$AL$1-K83)/30</f>
        <v>91.233333333333334</v>
      </c>
      <c r="AG83" s="91" t="str">
        <f ca="1">(TRUNC(AF83/12))&amp;"년 "&amp;(ROUNDDOWN(MOD(AF83,12),0))&amp;"개월"</f>
        <v>7년 7개월</v>
      </c>
      <c r="AH83" s="39">
        <f ca="1">+AD83+AF83</f>
        <v>127.23333333333333</v>
      </c>
      <c r="AI83" s="91" t="str">
        <f ca="1">(TRUNC(AH83/12))&amp;"년 "&amp;(ROUNDDOWN(MOD(AH83,12),0))&amp;"개월"</f>
        <v>10년 7개월</v>
      </c>
      <c r="AJ83" s="88" t="s">
        <v>3386</v>
      </c>
      <c r="AK83" s="81" t="s">
        <v>3387</v>
      </c>
      <c r="AL83" s="62" t="s">
        <v>3388</v>
      </c>
      <c r="AM83" s="86"/>
      <c r="AN83" s="37"/>
      <c r="AO83" s="54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</row>
    <row r="84" spans="1:52" ht="16.5" customHeight="1">
      <c r="A84" s="33" t="s">
        <v>1360</v>
      </c>
      <c r="B84" s="86">
        <v>201101</v>
      </c>
      <c r="C84" s="81" t="s">
        <v>193</v>
      </c>
      <c r="D84" s="104" t="s">
        <v>3507</v>
      </c>
      <c r="E84" s="104">
        <v>1</v>
      </c>
      <c r="F84" s="86" t="s">
        <v>34</v>
      </c>
      <c r="G84" s="87" t="s">
        <v>3508</v>
      </c>
      <c r="H84" s="83" t="s">
        <v>2463</v>
      </c>
      <c r="I84" s="82"/>
      <c r="J84" s="86" t="s">
        <v>3509</v>
      </c>
      <c r="K84" s="85">
        <v>44137</v>
      </c>
      <c r="L84" s="36"/>
      <c r="M84" s="36"/>
      <c r="N84" s="86" t="s">
        <v>153</v>
      </c>
      <c r="O84" s="86" t="s">
        <v>1565</v>
      </c>
      <c r="P84" s="86" t="s">
        <v>457</v>
      </c>
      <c r="Q84" s="86" t="s">
        <v>964</v>
      </c>
      <c r="R84" s="86" t="s">
        <v>209</v>
      </c>
      <c r="S84" s="85">
        <v>38401</v>
      </c>
      <c r="T84" s="86"/>
      <c r="U84" s="85"/>
      <c r="V84" s="37"/>
      <c r="W84" s="85"/>
      <c r="X84" s="37"/>
      <c r="Y84" s="85"/>
      <c r="Z84" s="37"/>
      <c r="AA84" s="37"/>
      <c r="AB84" s="86"/>
      <c r="AC84" s="37"/>
      <c r="AD84" s="39">
        <v>173</v>
      </c>
      <c r="AE84" s="86" t="str">
        <f>(TRUNC(AD84/12))&amp;"년 "&amp;(ROUNDDOWN(MOD(AD84,12),0))&amp;"개월"</f>
        <v>14년 5개월</v>
      </c>
      <c r="AF84" s="39">
        <f ca="1">($AL$1-K84)/30</f>
        <v>65.900000000000006</v>
      </c>
      <c r="AG84" s="86" t="str">
        <f ca="1">(TRUNC(AF84/12))&amp;"년 "&amp;(ROUNDDOWN(MOD(AF84,12),0))&amp;"개월"</f>
        <v>5년 5개월</v>
      </c>
      <c r="AH84" s="39">
        <f ca="1">+AD84+AF84</f>
        <v>238.9</v>
      </c>
      <c r="AI84" s="91" t="str">
        <f ca="1">(TRUNC(AH84/12))&amp;"년 "&amp;(ROUNDDOWN(MOD(AH84,12),0))&amp;"개월"</f>
        <v>19년 10개월</v>
      </c>
      <c r="AJ84" s="96" t="s">
        <v>3510</v>
      </c>
      <c r="AK84" s="86" t="s">
        <v>3511</v>
      </c>
      <c r="AL84" s="50" t="s">
        <v>3512</v>
      </c>
      <c r="AM84" s="86"/>
      <c r="AN84" s="86" t="s">
        <v>3513</v>
      </c>
      <c r="AO84" s="54" t="s">
        <v>1167</v>
      </c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</row>
    <row r="85" spans="1:52" ht="15.75" customHeight="1">
      <c r="A85" s="33" t="s">
        <v>292</v>
      </c>
      <c r="B85" s="86">
        <v>211205</v>
      </c>
      <c r="C85" s="81" t="s">
        <v>193</v>
      </c>
      <c r="D85" s="104" t="s">
        <v>3677</v>
      </c>
      <c r="E85" s="104">
        <v>1</v>
      </c>
      <c r="F85" s="86" t="s">
        <v>228</v>
      </c>
      <c r="G85" s="87"/>
      <c r="H85" s="83" t="s">
        <v>2463</v>
      </c>
      <c r="I85" s="82"/>
      <c r="J85" s="86" t="s">
        <v>3678</v>
      </c>
      <c r="K85" s="85">
        <v>44544</v>
      </c>
      <c r="L85" s="36"/>
      <c r="M85" s="36"/>
      <c r="N85" s="86" t="s">
        <v>146</v>
      </c>
      <c r="O85" s="86" t="s">
        <v>3679</v>
      </c>
      <c r="P85" s="86" t="s">
        <v>499</v>
      </c>
      <c r="Q85" s="86" t="s">
        <v>964</v>
      </c>
      <c r="R85" s="86" t="s">
        <v>265</v>
      </c>
      <c r="S85" s="85">
        <v>36584</v>
      </c>
      <c r="T85" s="37"/>
      <c r="U85" s="36"/>
      <c r="V85" s="37"/>
      <c r="W85" s="36"/>
      <c r="X85" s="37"/>
      <c r="Y85" s="36"/>
      <c r="Z85" s="37"/>
      <c r="AA85" s="37"/>
      <c r="AB85" s="86"/>
      <c r="AC85" s="37"/>
      <c r="AD85" s="91">
        <v>176</v>
      </c>
      <c r="AE85" s="86" t="str">
        <f>(TRUNC(AD85/12))&amp;"년 "&amp;(ROUNDDOWN(MOD(AD85,12),0))&amp;"개월"</f>
        <v>14년 8개월</v>
      </c>
      <c r="AF85" s="39">
        <f ca="1">($AL$1-K85)/30</f>
        <v>52.333333333333336</v>
      </c>
      <c r="AG85" s="86" t="str">
        <f ca="1">(TRUNC(AF85/12))&amp;"년 "&amp;(ROUNDDOWN(MOD(AF85,12),0))&amp;"개월"</f>
        <v>4년 4개월</v>
      </c>
      <c r="AH85" s="39">
        <f ca="1">+AD85+AF85</f>
        <v>228.33333333333334</v>
      </c>
      <c r="AI85" s="39" t="str">
        <f ca="1">(TRUNC(AH85/12))&amp;"년 "&amp;(ROUNDDOWN(MOD(AH85,12),0))&amp;"개월"</f>
        <v>19년 0개월</v>
      </c>
      <c r="AJ85" s="96" t="s">
        <v>3680</v>
      </c>
      <c r="AK85" s="86" t="s">
        <v>3681</v>
      </c>
      <c r="AL85" s="50" t="s">
        <v>1253</v>
      </c>
      <c r="AM85" s="86"/>
      <c r="AN85" s="86" t="s">
        <v>3682</v>
      </c>
      <c r="AO85" s="54" t="s">
        <v>3683</v>
      </c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</row>
    <row r="86" spans="1:52" ht="15.75" customHeight="1">
      <c r="A86" s="33" t="s">
        <v>3753</v>
      </c>
      <c r="B86" s="86">
        <v>220501</v>
      </c>
      <c r="C86" s="81" t="s">
        <v>924</v>
      </c>
      <c r="D86" s="104" t="s">
        <v>3754</v>
      </c>
      <c r="E86" s="104">
        <v>1</v>
      </c>
      <c r="F86" s="86" t="s">
        <v>44</v>
      </c>
      <c r="G86" s="87"/>
      <c r="H86" s="83" t="s">
        <v>2463</v>
      </c>
      <c r="I86" s="82"/>
      <c r="J86" s="86" t="s">
        <v>3755</v>
      </c>
      <c r="K86" s="85">
        <v>44683</v>
      </c>
      <c r="L86" s="36"/>
      <c r="M86" s="36"/>
      <c r="N86" s="86" t="s">
        <v>153</v>
      </c>
      <c r="O86" s="86" t="s">
        <v>3756</v>
      </c>
      <c r="P86" s="86" t="s">
        <v>1972</v>
      </c>
      <c r="Q86" s="86" t="s">
        <v>964</v>
      </c>
      <c r="R86" s="86" t="s">
        <v>209</v>
      </c>
      <c r="S86" s="85">
        <v>42419</v>
      </c>
      <c r="T86" s="86"/>
      <c r="U86" s="85"/>
      <c r="V86" s="86"/>
      <c r="W86" s="85"/>
      <c r="X86" s="37"/>
      <c r="Y86" s="85"/>
      <c r="Z86" s="37"/>
      <c r="AA86" s="37"/>
      <c r="AB86" s="86"/>
      <c r="AC86" s="37"/>
      <c r="AD86" s="91">
        <v>56</v>
      </c>
      <c r="AE86" s="86" t="str">
        <f>(TRUNC(AD86/12))&amp;"년 "&amp;(ROUNDDOWN(MOD(AD86,12),0))&amp;"개월"</f>
        <v>4년 8개월</v>
      </c>
      <c r="AF86" s="39">
        <f ca="1">($AL$1-K86)/30</f>
        <v>47.7</v>
      </c>
      <c r="AG86" s="91" t="str">
        <f ca="1">(TRUNC(AF86/12))&amp;"년 "&amp;(ROUNDDOWN(MOD(AF86,12),0))&amp;"개월"</f>
        <v>3년 11개월</v>
      </c>
      <c r="AH86" s="39">
        <f ca="1">+AD86+AF86</f>
        <v>103.7</v>
      </c>
      <c r="AI86" s="39" t="str">
        <f ca="1">(TRUNC(AH86/12))&amp;"년 "&amp;(ROUNDDOWN(MOD(AH86,12),0))&amp;"개월"</f>
        <v>8년 7개월</v>
      </c>
      <c r="AJ86" s="96" t="s">
        <v>3757</v>
      </c>
      <c r="AK86" s="86" t="s">
        <v>3758</v>
      </c>
      <c r="AL86" s="50" t="s">
        <v>3759</v>
      </c>
      <c r="AM86" s="86"/>
      <c r="AN86" s="86" t="s">
        <v>3760</v>
      </c>
      <c r="AO86" s="54" t="s">
        <v>3043</v>
      </c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</row>
    <row r="87" spans="1:52" ht="15.75" customHeight="1">
      <c r="A87" s="33" t="s">
        <v>2079</v>
      </c>
      <c r="B87" s="86">
        <v>230206</v>
      </c>
      <c r="C87" s="86" t="s">
        <v>193</v>
      </c>
      <c r="D87" s="104" t="s">
        <v>2377</v>
      </c>
      <c r="E87" s="104">
        <v>1</v>
      </c>
      <c r="F87" s="86" t="s">
        <v>34</v>
      </c>
      <c r="G87" s="86"/>
      <c r="H87" s="83" t="s">
        <v>2463</v>
      </c>
      <c r="I87" s="86"/>
      <c r="J87" s="86" t="s">
        <v>2379</v>
      </c>
      <c r="K87" s="85">
        <v>44977</v>
      </c>
      <c r="L87" s="36"/>
      <c r="M87" s="86"/>
      <c r="N87" s="86" t="s">
        <v>153</v>
      </c>
      <c r="O87" s="86" t="s">
        <v>2090</v>
      </c>
      <c r="P87" s="86" t="s">
        <v>617</v>
      </c>
      <c r="Q87" s="86" t="s">
        <v>1794</v>
      </c>
      <c r="R87" s="86" t="s">
        <v>209</v>
      </c>
      <c r="S87" s="36">
        <v>37309</v>
      </c>
      <c r="T87" s="37" t="s">
        <v>275</v>
      </c>
      <c r="U87" s="85">
        <v>37242</v>
      </c>
      <c r="V87" s="37"/>
      <c r="W87" s="86"/>
      <c r="X87" s="37"/>
      <c r="Y87" s="86"/>
      <c r="Z87" s="37"/>
      <c r="AA87" s="37"/>
      <c r="AB87" s="86"/>
      <c r="AC87" s="37"/>
      <c r="AD87" s="91">
        <v>219</v>
      </c>
      <c r="AE87" s="87" t="str">
        <f>(TRUNC(AD87/12))&amp;"년 "&amp;(ROUNDDOWN(MOD(AD87,12),0))&amp;"개월"</f>
        <v>18년 3개월</v>
      </c>
      <c r="AF87" s="39">
        <f ca="1">($AL$1-K87)/30</f>
        <v>37.9</v>
      </c>
      <c r="AG87" s="91" t="str">
        <f ca="1">(TRUNC(AF87/12))&amp;"년 "&amp;(ROUNDDOWN(MOD(AF87,12),0))&amp;"개월"</f>
        <v>3년 1개월</v>
      </c>
      <c r="AH87" s="39">
        <f ca="1">+AD87+AF87</f>
        <v>256.89999999999998</v>
      </c>
      <c r="AI87" s="39" t="str">
        <f ca="1">(TRUNC(AH87/12))&amp;"년 "&amp;(ROUNDDOWN(MOD(AH87,12),0))&amp;"개월"</f>
        <v>21년 4개월</v>
      </c>
      <c r="AJ87" s="96" t="s">
        <v>3901</v>
      </c>
      <c r="AK87" s="86" t="s">
        <v>2381</v>
      </c>
      <c r="AL87" s="96" t="s">
        <v>2382</v>
      </c>
      <c r="AM87" s="37"/>
      <c r="AN87" s="86" t="s">
        <v>3902</v>
      </c>
      <c r="AO87" s="86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</row>
    <row r="88" spans="1:52" ht="15.75" customHeight="1">
      <c r="A88" s="33" t="s">
        <v>2235</v>
      </c>
      <c r="B88" s="86">
        <v>230901</v>
      </c>
      <c r="C88" s="86" t="s">
        <v>193</v>
      </c>
      <c r="D88" s="104" t="s">
        <v>3983</v>
      </c>
      <c r="E88" s="104">
        <v>1</v>
      </c>
      <c r="F88" s="86" t="s">
        <v>51</v>
      </c>
      <c r="G88" s="86"/>
      <c r="H88" s="83" t="s">
        <v>2463</v>
      </c>
      <c r="I88" s="86" t="s">
        <v>3984</v>
      </c>
      <c r="J88" s="86" t="s">
        <v>3985</v>
      </c>
      <c r="K88" s="85">
        <v>45176</v>
      </c>
      <c r="L88" s="36"/>
      <c r="M88" s="86"/>
      <c r="N88" s="86" t="s">
        <v>153</v>
      </c>
      <c r="O88" s="86" t="s">
        <v>1753</v>
      </c>
      <c r="P88" s="86" t="s">
        <v>3986</v>
      </c>
      <c r="Q88" s="86" t="s">
        <v>1414</v>
      </c>
      <c r="R88" s="86" t="s">
        <v>209</v>
      </c>
      <c r="S88" s="100">
        <v>44958</v>
      </c>
      <c r="T88" s="37"/>
      <c r="U88" s="86"/>
      <c r="V88" s="37"/>
      <c r="W88" s="86"/>
      <c r="X88" s="37"/>
      <c r="Y88" s="86"/>
      <c r="Z88" s="37"/>
      <c r="AA88" s="37"/>
      <c r="AB88" s="86"/>
      <c r="AC88" s="37"/>
      <c r="AD88" s="91">
        <v>0</v>
      </c>
      <c r="AE88" s="87" t="str">
        <f>(TRUNC(AD88/12))&amp;"년 "&amp;(ROUNDDOWN(MOD(AD88,12),0))&amp;"개월"</f>
        <v>0년 0개월</v>
      </c>
      <c r="AF88" s="39">
        <f ca="1">($AL$1-K88)/30</f>
        <v>31.266666666666666</v>
      </c>
      <c r="AG88" s="39" t="str">
        <f ca="1">(TRUNC(AF88/12))&amp;"년 "&amp;(ROUNDDOWN(MOD(AF88,12),0))&amp;"개월"</f>
        <v>2년 7개월</v>
      </c>
      <c r="AH88" s="39">
        <f ca="1">+AD88+AF88</f>
        <v>31.266666666666666</v>
      </c>
      <c r="AI88" s="39" t="str">
        <f ca="1">(TRUNC(AH88/12))&amp;"년 "&amp;(ROUNDDOWN(MOD(AH88,12),0))&amp;"개월"</f>
        <v>2년 7개월</v>
      </c>
      <c r="AJ88" s="96" t="s">
        <v>3987</v>
      </c>
      <c r="AK88" s="86" t="s">
        <v>3988</v>
      </c>
      <c r="AL88" s="96" t="s">
        <v>3989</v>
      </c>
      <c r="AM88" s="37"/>
      <c r="AN88" s="86" t="s">
        <v>3990</v>
      </c>
      <c r="AO88" s="86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</row>
    <row r="89" spans="1:52" ht="15.75" customHeight="1">
      <c r="A89" s="33" t="s">
        <v>3991</v>
      </c>
      <c r="B89" s="86">
        <v>230902</v>
      </c>
      <c r="C89" s="86" t="s">
        <v>193</v>
      </c>
      <c r="D89" s="104" t="s">
        <v>3992</v>
      </c>
      <c r="E89" s="104">
        <v>1</v>
      </c>
      <c r="F89" s="86" t="s">
        <v>51</v>
      </c>
      <c r="G89" s="86"/>
      <c r="H89" s="83" t="s">
        <v>2463</v>
      </c>
      <c r="I89" s="86" t="s">
        <v>3984</v>
      </c>
      <c r="J89" s="86" t="s">
        <v>3993</v>
      </c>
      <c r="K89" s="85">
        <v>45176</v>
      </c>
      <c r="L89" s="36"/>
      <c r="M89" s="86"/>
      <c r="N89" s="86" t="s">
        <v>196</v>
      </c>
      <c r="O89" s="86" t="s">
        <v>506</v>
      </c>
      <c r="P89" s="86" t="s">
        <v>3994</v>
      </c>
      <c r="Q89" s="103" t="s">
        <v>711</v>
      </c>
      <c r="R89" s="86" t="s">
        <v>198</v>
      </c>
      <c r="S89" s="85">
        <v>44607</v>
      </c>
      <c r="T89" s="37"/>
      <c r="U89" s="86"/>
      <c r="V89" s="37"/>
      <c r="W89" s="86"/>
      <c r="X89" s="37"/>
      <c r="Y89" s="86"/>
      <c r="Z89" s="37"/>
      <c r="AA89" s="37"/>
      <c r="AB89" s="86"/>
      <c r="AC89" s="37"/>
      <c r="AD89" s="91">
        <v>0</v>
      </c>
      <c r="AE89" s="38" t="str">
        <f>(TRUNC(AD89/12))&amp;"년 "&amp;(ROUNDDOWN(MOD(AD89,12),0))&amp;"개월"</f>
        <v>0년 0개월</v>
      </c>
      <c r="AF89" s="39">
        <f ca="1">($AL$1-K89)/30</f>
        <v>31.266666666666666</v>
      </c>
      <c r="AG89" s="39" t="str">
        <f ca="1">(TRUNC(AF89/12))&amp;"년 "&amp;(ROUNDDOWN(MOD(AF89,12),0))&amp;"개월"</f>
        <v>2년 7개월</v>
      </c>
      <c r="AH89" s="39">
        <f ca="1">+AD89+AF89</f>
        <v>31.266666666666666</v>
      </c>
      <c r="AI89" s="39" t="str">
        <f ca="1">(TRUNC(AH89/12))&amp;"년 "&amp;(ROUNDDOWN(MOD(AH89,12),0))&amp;"개월"</f>
        <v>2년 7개월</v>
      </c>
      <c r="AJ89" s="96" t="s">
        <v>3995</v>
      </c>
      <c r="AK89" s="86" t="s">
        <v>3996</v>
      </c>
      <c r="AL89" s="96" t="s">
        <v>3997</v>
      </c>
      <c r="AM89" s="86"/>
      <c r="AN89" s="86" t="s">
        <v>3998</v>
      </c>
      <c r="AO89" s="86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</row>
    <row r="90" spans="1:52" ht="15.75" customHeight="1">
      <c r="A90" s="33" t="s">
        <v>141</v>
      </c>
      <c r="B90" s="81" t="s">
        <v>3331</v>
      </c>
      <c r="C90" s="81" t="s">
        <v>193</v>
      </c>
      <c r="D90" s="108" t="s">
        <v>3332</v>
      </c>
      <c r="E90" s="108">
        <v>2</v>
      </c>
      <c r="F90" s="82" t="s">
        <v>34</v>
      </c>
      <c r="G90" s="82" t="s">
        <v>3333</v>
      </c>
      <c r="H90" s="83" t="s">
        <v>4133</v>
      </c>
      <c r="I90" s="82"/>
      <c r="J90" s="84" t="s">
        <v>3334</v>
      </c>
      <c r="K90" s="85">
        <v>42604</v>
      </c>
      <c r="L90" s="36">
        <v>44228</v>
      </c>
      <c r="M90" s="85"/>
      <c r="N90" s="86" t="s">
        <v>153</v>
      </c>
      <c r="O90" s="86" t="s">
        <v>666</v>
      </c>
      <c r="P90" s="87" t="s">
        <v>457</v>
      </c>
      <c r="Q90" s="87" t="s">
        <v>763</v>
      </c>
      <c r="R90" s="86" t="s">
        <v>209</v>
      </c>
      <c r="S90" s="85"/>
      <c r="T90" s="86"/>
      <c r="U90" s="85"/>
      <c r="V90" s="86"/>
      <c r="W90" s="85"/>
      <c r="X90" s="37"/>
      <c r="Y90" s="85"/>
      <c r="Z90" s="37" t="s">
        <v>276</v>
      </c>
      <c r="AA90" s="37"/>
      <c r="AB90" s="85"/>
      <c r="AC90" s="37"/>
      <c r="AD90" s="91">
        <v>71</v>
      </c>
      <c r="AE90" s="87" t="str">
        <f>(TRUNC(AD90/12))&amp;"년 "&amp;(ROUNDDOWN(MOD(AD90,12),0))&amp;"개월"</f>
        <v>5년 11개월</v>
      </c>
      <c r="AF90" s="39">
        <f ca="1">(재직자!$AL$1-K90)/30</f>
        <v>117</v>
      </c>
      <c r="AG90" s="91" t="str">
        <f ca="1">(TRUNC(AF90/12))&amp;"년 "&amp;(ROUNDDOWN(MOD(AF90,12),0))&amp;"개월"</f>
        <v>9년 9개월</v>
      </c>
      <c r="AH90" s="39">
        <f ca="1">+AD90+AF90</f>
        <v>188</v>
      </c>
      <c r="AI90" s="39" t="str">
        <f ca="1">(TRUNC(AH90/12))&amp;"년 "&amp;(ROUNDDOWN(MOD(AH90,12),0))&amp;"개월"</f>
        <v>15년 8개월</v>
      </c>
      <c r="AJ90" s="88" t="s">
        <v>3335</v>
      </c>
      <c r="AK90" s="81" t="s">
        <v>3336</v>
      </c>
      <c r="AL90" s="62" t="s">
        <v>3337</v>
      </c>
      <c r="AM90" s="86"/>
      <c r="AN90" s="86" t="s">
        <v>3338</v>
      </c>
      <c r="AO90" s="54" t="s">
        <v>3339</v>
      </c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</row>
    <row r="91" spans="1:52" ht="15.75" customHeight="1">
      <c r="A91" s="33" t="s">
        <v>1934</v>
      </c>
      <c r="B91" s="86">
        <v>221101</v>
      </c>
      <c r="C91" s="86" t="s">
        <v>2513</v>
      </c>
      <c r="D91" s="98" t="s">
        <v>3824</v>
      </c>
      <c r="E91" s="104">
        <v>2</v>
      </c>
      <c r="F91" s="86" t="s">
        <v>88</v>
      </c>
      <c r="G91" s="86"/>
      <c r="H91" s="83" t="s">
        <v>2463</v>
      </c>
      <c r="I91" s="86" t="s">
        <v>635</v>
      </c>
      <c r="J91" s="86" t="s">
        <v>3825</v>
      </c>
      <c r="K91" s="85">
        <v>44866</v>
      </c>
      <c r="L91" s="36"/>
      <c r="M91" s="86"/>
      <c r="N91" s="86" t="s">
        <v>153</v>
      </c>
      <c r="O91" s="86" t="s">
        <v>2570</v>
      </c>
      <c r="P91" s="86" t="s">
        <v>413</v>
      </c>
      <c r="Q91" s="86" t="s">
        <v>721</v>
      </c>
      <c r="R91" s="86" t="s">
        <v>209</v>
      </c>
      <c r="S91" s="85">
        <v>38038</v>
      </c>
      <c r="T91" s="86" t="s">
        <v>275</v>
      </c>
      <c r="U91" s="85">
        <v>37781</v>
      </c>
      <c r="V91" s="37"/>
      <c r="W91" s="86"/>
      <c r="X91" s="37"/>
      <c r="Y91" s="86"/>
      <c r="Z91" s="37"/>
      <c r="AA91" s="37"/>
      <c r="AB91" s="37"/>
      <c r="AC91" s="37"/>
      <c r="AD91" s="91">
        <v>108</v>
      </c>
      <c r="AE91" s="87" t="str">
        <f>(TRUNC(AD91/12))&amp;"년 "&amp;(ROUNDDOWN(MOD(AD91,12),0))&amp;"개월"</f>
        <v>9년 0개월</v>
      </c>
      <c r="AF91" s="39">
        <f ca="1">($AL$1-K91)/30</f>
        <v>41.6</v>
      </c>
      <c r="AG91" s="91" t="str">
        <f ca="1">(TRUNC(AF91/12))&amp;"년 "&amp;(ROUNDDOWN(MOD(AF91,12),0))&amp;"개월"</f>
        <v>3년 5개월</v>
      </c>
      <c r="AH91" s="39">
        <f ca="1">+AD91+AF91</f>
        <v>149.6</v>
      </c>
      <c r="AI91" s="39" t="str">
        <f ca="1">(TRUNC(AH91/12))&amp;"년 "&amp;(ROUNDDOWN(MOD(AH91,12),0))&amp;"개월"</f>
        <v>12년 5개월</v>
      </c>
      <c r="AJ91" s="96" t="s">
        <v>3826</v>
      </c>
      <c r="AK91" s="86" t="s">
        <v>3827</v>
      </c>
      <c r="AL91" s="96" t="s">
        <v>3828</v>
      </c>
      <c r="AM91" s="37"/>
      <c r="AN91" s="86" t="s">
        <v>3829</v>
      </c>
      <c r="AO91" s="86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</row>
    <row r="92" spans="1:52" ht="15.75" customHeight="1">
      <c r="A92" s="33" t="s">
        <v>59</v>
      </c>
      <c r="B92" s="81" t="s">
        <v>3184</v>
      </c>
      <c r="C92" s="81" t="s">
        <v>924</v>
      </c>
      <c r="D92" s="108" t="s">
        <v>3185</v>
      </c>
      <c r="E92" s="108"/>
      <c r="F92" s="82" t="s">
        <v>228</v>
      </c>
      <c r="G92" s="87" t="s">
        <v>3186</v>
      </c>
      <c r="H92" s="83" t="s">
        <v>2463</v>
      </c>
      <c r="I92" s="82" t="s">
        <v>1221</v>
      </c>
      <c r="J92" s="164" t="s">
        <v>3187</v>
      </c>
      <c r="K92" s="85">
        <v>40413</v>
      </c>
      <c r="L92" s="36">
        <v>44228</v>
      </c>
      <c r="M92" s="85"/>
      <c r="N92" s="86" t="s">
        <v>153</v>
      </c>
      <c r="O92" s="86" t="s">
        <v>3188</v>
      </c>
      <c r="P92" s="87" t="s">
        <v>457</v>
      </c>
      <c r="Q92" s="87"/>
      <c r="R92" s="86" t="s">
        <v>209</v>
      </c>
      <c r="S92" s="85">
        <v>38400</v>
      </c>
      <c r="T92" s="86"/>
      <c r="U92" s="86"/>
      <c r="V92" s="37"/>
      <c r="W92" s="86"/>
      <c r="X92" s="37"/>
      <c r="Y92" s="86"/>
      <c r="Z92" s="37" t="s">
        <v>230</v>
      </c>
      <c r="AA92" s="37" t="s">
        <v>211</v>
      </c>
      <c r="AB92" s="85"/>
      <c r="AC92" s="37" t="s">
        <v>276</v>
      </c>
      <c r="AD92" s="91">
        <v>50</v>
      </c>
      <c r="AE92" s="87" t="str">
        <f>(TRUNC(AD92/12))&amp;"년 "&amp;(ROUNDDOWN(MOD(AD92,12),0))&amp;"개월"</f>
        <v>4년 2개월</v>
      </c>
      <c r="AF92" s="39">
        <f ca="1">($AL$1-K92)/30</f>
        <v>190.03333333333333</v>
      </c>
      <c r="AG92" s="91" t="str">
        <f ca="1">(TRUNC(AF92/12))&amp;"년 "&amp;(ROUNDDOWN(MOD(AF92,12),0))&amp;"개월"</f>
        <v>15년 10개월</v>
      </c>
      <c r="AH92" s="39">
        <f ca="1">+AD92+AF92</f>
        <v>240.03333333333333</v>
      </c>
      <c r="AI92" s="39" t="str">
        <f ca="1">(TRUNC(AH92/12))&amp;"년 "&amp;(ROUNDDOWN(MOD(AH92,12),0))&amp;"개월"</f>
        <v>20년 0개월</v>
      </c>
      <c r="AJ92" s="66" t="s">
        <v>3189</v>
      </c>
      <c r="AK92" s="81" t="s">
        <v>3190</v>
      </c>
      <c r="AL92" s="96" t="s">
        <v>3191</v>
      </c>
      <c r="AM92" s="37">
        <v>2623</v>
      </c>
      <c r="AN92" s="86" t="s">
        <v>3192</v>
      </c>
      <c r="AO92" s="54">
        <v>11.06</v>
      </c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</row>
    <row r="93" spans="1:52" ht="15.75" customHeight="1">
      <c r="A93" s="33" t="s">
        <v>72</v>
      </c>
      <c r="B93" s="81" t="s">
        <v>3194</v>
      </c>
      <c r="C93" s="81" t="s">
        <v>924</v>
      </c>
      <c r="D93" s="108" t="s">
        <v>3195</v>
      </c>
      <c r="E93" s="108"/>
      <c r="F93" s="82" t="s">
        <v>34</v>
      </c>
      <c r="G93" s="87" t="s">
        <v>3196</v>
      </c>
      <c r="H93" s="83" t="s">
        <v>2463</v>
      </c>
      <c r="I93" s="82" t="s">
        <v>1221</v>
      </c>
      <c r="J93" s="163" t="s">
        <v>3197</v>
      </c>
      <c r="K93" s="85">
        <v>40441</v>
      </c>
      <c r="L93" s="36">
        <v>42005</v>
      </c>
      <c r="M93" s="85"/>
      <c r="N93" s="86" t="s">
        <v>146</v>
      </c>
      <c r="O93" s="86" t="s">
        <v>263</v>
      </c>
      <c r="P93" s="87" t="s">
        <v>3198</v>
      </c>
      <c r="Q93" s="87"/>
      <c r="R93" s="86" t="s">
        <v>265</v>
      </c>
      <c r="S93" s="85">
        <v>37666</v>
      </c>
      <c r="T93" s="86" t="s">
        <v>275</v>
      </c>
      <c r="U93" s="85">
        <v>38334</v>
      </c>
      <c r="V93" s="86" t="s">
        <v>764</v>
      </c>
      <c r="W93" s="85">
        <v>38992</v>
      </c>
      <c r="X93" s="37"/>
      <c r="Y93" s="86"/>
      <c r="Z93" s="37" t="s">
        <v>199</v>
      </c>
      <c r="AA93" s="37" t="s">
        <v>211</v>
      </c>
      <c r="AB93" s="85">
        <v>40848</v>
      </c>
      <c r="AC93" s="37" t="s">
        <v>230</v>
      </c>
      <c r="AD93" s="91">
        <v>77</v>
      </c>
      <c r="AE93" s="87" t="str">
        <f>(TRUNC(AD93/12))&amp;"년 "&amp;(ROUNDDOWN(MOD(AD93,12),0))&amp;"개월"</f>
        <v>6년 5개월</v>
      </c>
      <c r="AF93" s="39">
        <f ca="1">($AL$1-K93)/30</f>
        <v>189.1</v>
      </c>
      <c r="AG93" s="91" t="str">
        <f ca="1">(TRUNC(AF93/12))&amp;"년 "&amp;(ROUNDDOWN(MOD(AF93,12),0))&amp;"개월"</f>
        <v>15년 9개월</v>
      </c>
      <c r="AH93" s="39">
        <f ca="1">+AD93+AF93</f>
        <v>266.10000000000002</v>
      </c>
      <c r="AI93" s="39" t="str">
        <f ca="1">(TRUNC(AH93/12))&amp;"년 "&amp;(ROUNDDOWN(MOD(AH93,12),0))&amp;"개월"</f>
        <v>22년 2개월</v>
      </c>
      <c r="AJ93" s="88" t="s">
        <v>3199</v>
      </c>
      <c r="AK93" s="81" t="s">
        <v>3200</v>
      </c>
      <c r="AL93" s="96" t="s">
        <v>3201</v>
      </c>
      <c r="AM93" s="37"/>
      <c r="AN93" s="86" t="s">
        <v>1490</v>
      </c>
      <c r="AO93" s="54" t="s">
        <v>1491</v>
      </c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</row>
    <row r="94" spans="1:52" ht="15.75" customHeight="1">
      <c r="A94" s="33" t="s">
        <v>115</v>
      </c>
      <c r="B94" s="81" t="s">
        <v>3281</v>
      </c>
      <c r="C94" s="81" t="s">
        <v>924</v>
      </c>
      <c r="D94" s="108" t="s">
        <v>427</v>
      </c>
      <c r="E94" s="108"/>
      <c r="F94" s="82" t="s">
        <v>88</v>
      </c>
      <c r="G94" s="87" t="s">
        <v>3282</v>
      </c>
      <c r="H94" s="83" t="s">
        <v>2463</v>
      </c>
      <c r="I94" s="82" t="s">
        <v>1221</v>
      </c>
      <c r="J94" s="84" t="s">
        <v>428</v>
      </c>
      <c r="K94" s="85">
        <v>41589</v>
      </c>
      <c r="L94" s="36">
        <v>42826</v>
      </c>
      <c r="M94" s="85"/>
      <c r="N94" s="86" t="s">
        <v>146</v>
      </c>
      <c r="O94" s="86" t="s">
        <v>429</v>
      </c>
      <c r="P94" s="87" t="s">
        <v>430</v>
      </c>
      <c r="Q94" s="87"/>
      <c r="R94" s="86" t="s">
        <v>265</v>
      </c>
      <c r="S94" s="85">
        <v>38401</v>
      </c>
      <c r="T94" s="37"/>
      <c r="U94" s="86"/>
      <c r="V94" s="37"/>
      <c r="W94" s="86"/>
      <c r="X94" s="37"/>
      <c r="Y94" s="86"/>
      <c r="Z94" s="37" t="s">
        <v>210</v>
      </c>
      <c r="AA94" s="85"/>
      <c r="AB94" s="37"/>
      <c r="AC94" s="37" t="s">
        <v>210</v>
      </c>
      <c r="AD94" s="91">
        <v>18</v>
      </c>
      <c r="AE94" s="87" t="str">
        <f>(TRUNC(AD94/12))&amp;"년 "&amp;(ROUNDDOWN(MOD(AD94,12),0))&amp;"개월"</f>
        <v>1년 6개월</v>
      </c>
      <c r="AF94" s="39">
        <f ca="1">($AL$1-K94)/30</f>
        <v>150.83333333333334</v>
      </c>
      <c r="AG94" s="91" t="str">
        <f ca="1">(TRUNC(AF94/12))&amp;"년 "&amp;(ROUNDDOWN(MOD(AF94,12),0))&amp;"개월"</f>
        <v>12년 6개월</v>
      </c>
      <c r="AH94" s="39">
        <f ca="1">+AD94+AF94</f>
        <v>168.83333333333334</v>
      </c>
      <c r="AI94" s="39" t="str">
        <f ca="1">(TRUNC(AH94/12))&amp;"년 "&amp;(ROUNDDOWN(MOD(AH94,12),0))&amp;"개월"</f>
        <v>14년 0개월</v>
      </c>
      <c r="AJ94" s="66" t="s">
        <v>3283</v>
      </c>
      <c r="AK94" s="81" t="s">
        <v>432</v>
      </c>
      <c r="AL94" s="96" t="s">
        <v>433</v>
      </c>
      <c r="AM94" s="37">
        <v>2637</v>
      </c>
      <c r="AN94" s="86" t="s">
        <v>3284</v>
      </c>
      <c r="AO94" s="54">
        <v>6.06</v>
      </c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</row>
    <row r="95" spans="1:52" ht="15.75" customHeight="1">
      <c r="A95" s="33" t="s">
        <v>118</v>
      </c>
      <c r="B95" s="86">
        <v>140603</v>
      </c>
      <c r="C95" s="81" t="s">
        <v>924</v>
      </c>
      <c r="D95" s="98" t="s">
        <v>3285</v>
      </c>
      <c r="E95" s="104"/>
      <c r="F95" s="86" t="s">
        <v>88</v>
      </c>
      <c r="G95" s="87" t="s">
        <v>3286</v>
      </c>
      <c r="H95" s="83" t="s">
        <v>2463</v>
      </c>
      <c r="I95" s="82" t="s">
        <v>1221</v>
      </c>
      <c r="J95" s="86" t="s">
        <v>3287</v>
      </c>
      <c r="K95" s="85">
        <v>41799</v>
      </c>
      <c r="L95" s="36">
        <v>43891</v>
      </c>
      <c r="M95" s="85"/>
      <c r="N95" s="86" t="s">
        <v>448</v>
      </c>
      <c r="O95" s="86" t="s">
        <v>3288</v>
      </c>
      <c r="P95" s="86"/>
      <c r="Q95" s="86"/>
      <c r="R95" s="86" t="s">
        <v>448</v>
      </c>
      <c r="S95" s="85">
        <v>41686</v>
      </c>
      <c r="T95" s="37"/>
      <c r="U95" s="86"/>
      <c r="V95" s="37"/>
      <c r="W95" s="86"/>
      <c r="X95" s="37"/>
      <c r="Y95" s="86"/>
      <c r="Z95" s="37" t="s">
        <v>210</v>
      </c>
      <c r="AA95" s="37"/>
      <c r="AB95" s="37"/>
      <c r="AC95" s="37"/>
      <c r="AD95" s="91">
        <v>41</v>
      </c>
      <c r="AE95" s="86" t="str">
        <f>(TRUNC(AD95/12))&amp;"년 "&amp;(ROUNDDOWN(MOD(AD95,12),0))&amp;"개월"</f>
        <v>3년 5개월</v>
      </c>
      <c r="AF95" s="39">
        <f ca="1">($AL$1-K95)/30</f>
        <v>143.83333333333334</v>
      </c>
      <c r="AG95" s="86" t="str">
        <f ca="1">(TRUNC(AF95/12))&amp;"년 "&amp;(ROUNDDOWN(MOD(AF95,12),0))&amp;"개월"</f>
        <v>11년 11개월</v>
      </c>
      <c r="AH95" s="39">
        <f ca="1">+AD95+AF95</f>
        <v>184.83333333333334</v>
      </c>
      <c r="AI95" s="86" t="str">
        <f ca="1">(TRUNC(AH95/12))&amp;"년 "&amp;(ROUNDDOWN(MOD(AH95,12),0))&amp;"개월"</f>
        <v>15년 4개월</v>
      </c>
      <c r="AJ95" s="96" t="s">
        <v>3289</v>
      </c>
      <c r="AK95" s="86" t="s">
        <v>3290</v>
      </c>
      <c r="AL95" s="50" t="s">
        <v>3291</v>
      </c>
      <c r="AM95" s="37"/>
      <c r="AN95" s="86" t="s">
        <v>3292</v>
      </c>
      <c r="AO95" s="54">
        <v>4.25</v>
      </c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</row>
    <row r="96" spans="1:52" ht="15.75" customHeight="1">
      <c r="A96" s="33" t="s">
        <v>132</v>
      </c>
      <c r="B96" s="86">
        <v>141001</v>
      </c>
      <c r="C96" s="81" t="s">
        <v>2667</v>
      </c>
      <c r="D96" s="98" t="s">
        <v>3304</v>
      </c>
      <c r="E96" s="104"/>
      <c r="F96" s="86" t="s">
        <v>139</v>
      </c>
      <c r="G96" s="87" t="s">
        <v>3305</v>
      </c>
      <c r="H96" s="83" t="s">
        <v>2463</v>
      </c>
      <c r="I96" s="82" t="s">
        <v>1279</v>
      </c>
      <c r="J96" s="86" t="s">
        <v>3306</v>
      </c>
      <c r="K96" s="85">
        <v>41918</v>
      </c>
      <c r="L96" s="36">
        <v>43466</v>
      </c>
      <c r="M96" s="85"/>
      <c r="N96" s="86" t="s">
        <v>196</v>
      </c>
      <c r="O96" s="86" t="s">
        <v>1132</v>
      </c>
      <c r="P96" s="86" t="s">
        <v>499</v>
      </c>
      <c r="Q96" s="86" t="s">
        <v>1134</v>
      </c>
      <c r="R96" s="86" t="s">
        <v>198</v>
      </c>
      <c r="S96" s="85">
        <v>36584</v>
      </c>
      <c r="T96" s="86" t="s">
        <v>275</v>
      </c>
      <c r="U96" s="85">
        <v>35702</v>
      </c>
      <c r="V96" s="37"/>
      <c r="W96" s="86"/>
      <c r="X96" s="37"/>
      <c r="Y96" s="86"/>
      <c r="Z96" s="37" t="s">
        <v>199</v>
      </c>
      <c r="AA96" s="37"/>
      <c r="AB96" s="37"/>
      <c r="AC96" s="37"/>
      <c r="AD96" s="91">
        <v>176</v>
      </c>
      <c r="AE96" s="86" t="str">
        <f>(TRUNC(AD96/12))&amp;"년 "&amp;(ROUNDDOWN(MOD(AD96,12),0))&amp;"개월"</f>
        <v>14년 8개월</v>
      </c>
      <c r="AF96" s="39">
        <f ca="1">($AL$1-K96)/30</f>
        <v>139.86666666666667</v>
      </c>
      <c r="AG96" s="86" t="str">
        <f ca="1">(TRUNC(AF96/12))&amp;"년 "&amp;(ROUNDDOWN(MOD(AF96,12),0))&amp;"개월"</f>
        <v>11년 7개월</v>
      </c>
      <c r="AH96" s="39">
        <f ca="1">+AD96+AF96</f>
        <v>315.86666666666667</v>
      </c>
      <c r="AI96" s="86" t="str">
        <f ca="1">(TRUNC(AH96/12))&amp;"년 "&amp;(ROUNDDOWN(MOD(AH96,12),0))&amp;"개월"</f>
        <v>26년 3개월</v>
      </c>
      <c r="AJ96" s="58" t="s">
        <v>3307</v>
      </c>
      <c r="AK96" s="86" t="s">
        <v>3308</v>
      </c>
      <c r="AL96" s="166" t="s">
        <v>3309</v>
      </c>
      <c r="AM96" s="37"/>
      <c r="AN96" s="86" t="s">
        <v>3310</v>
      </c>
      <c r="AO96" s="54" t="s">
        <v>3311</v>
      </c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</row>
    <row r="97" spans="1:52" ht="15.75" customHeight="1">
      <c r="A97" s="33" t="s">
        <v>672</v>
      </c>
      <c r="B97" s="81" t="s">
        <v>3449</v>
      </c>
      <c r="C97" s="81" t="s">
        <v>924</v>
      </c>
      <c r="D97" s="108" t="s">
        <v>1219</v>
      </c>
      <c r="E97" s="108"/>
      <c r="F97" s="82" t="s">
        <v>44</v>
      </c>
      <c r="G97" s="82"/>
      <c r="H97" s="83" t="s">
        <v>2463</v>
      </c>
      <c r="I97" s="82"/>
      <c r="J97" s="84" t="s">
        <v>1222</v>
      </c>
      <c r="K97" s="85">
        <v>43850</v>
      </c>
      <c r="L97" s="36"/>
      <c r="M97" s="85"/>
      <c r="N97" s="86" t="s">
        <v>448</v>
      </c>
      <c r="O97" s="86" t="s">
        <v>1223</v>
      </c>
      <c r="P97" s="87"/>
      <c r="Q97" s="87" t="s">
        <v>711</v>
      </c>
      <c r="R97" s="86" t="s">
        <v>448</v>
      </c>
      <c r="S97" s="85">
        <v>39498</v>
      </c>
      <c r="T97" s="37"/>
      <c r="U97" s="85"/>
      <c r="V97" s="37"/>
      <c r="W97" s="85"/>
      <c r="X97" s="37"/>
      <c r="Y97" s="85"/>
      <c r="Z97" s="37"/>
      <c r="AA97" s="37"/>
      <c r="AB97" s="85"/>
      <c r="AC97" s="37"/>
      <c r="AD97" s="91">
        <v>48</v>
      </c>
      <c r="AE97" s="38" t="str">
        <f>(TRUNC(AD97/12))&amp;"년 "&amp;(ROUNDDOWN(MOD(AD97,12),0))&amp;"개월"</f>
        <v>4년 0개월</v>
      </c>
      <c r="AF97" s="39">
        <f ca="1">(재직자!$AL$1-K97)/30</f>
        <v>75.466666666666669</v>
      </c>
      <c r="AG97" s="39" t="str">
        <f ca="1">(TRUNC(AF97/12))&amp;"년 "&amp;(ROUNDDOWN(MOD(AF97,12),0))&amp;"개월"</f>
        <v>6년 3개월</v>
      </c>
      <c r="AH97" s="39">
        <f ca="1">+AD97+AF97</f>
        <v>123.46666666666667</v>
      </c>
      <c r="AI97" s="39" t="str">
        <f ca="1">(TRUNC(AH97/12))&amp;"년 "&amp;(ROUNDDOWN(MOD(AH97,12),0))&amp;"개월"</f>
        <v>10년 3개월</v>
      </c>
      <c r="AJ97" s="88" t="s">
        <v>3450</v>
      </c>
      <c r="AK97" s="81" t="s">
        <v>1225</v>
      </c>
      <c r="AL97" s="62" t="s">
        <v>1226</v>
      </c>
      <c r="AM97" s="90"/>
      <c r="AN97" s="86" t="s">
        <v>1227</v>
      </c>
      <c r="AO97" s="54" t="s">
        <v>1228</v>
      </c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</row>
    <row r="98" spans="1:52" ht="15.75" customHeight="1">
      <c r="A98" s="33" t="s">
        <v>853</v>
      </c>
      <c r="B98" s="86">
        <v>200201</v>
      </c>
      <c r="C98" s="81" t="s">
        <v>924</v>
      </c>
      <c r="D98" s="104" t="s">
        <v>1826</v>
      </c>
      <c r="E98" s="104"/>
      <c r="F98" s="86" t="s">
        <v>88</v>
      </c>
      <c r="G98" s="87"/>
      <c r="H98" s="83" t="s">
        <v>2463</v>
      </c>
      <c r="I98" s="82"/>
      <c r="J98" s="86" t="s">
        <v>1827</v>
      </c>
      <c r="K98" s="85">
        <v>43862</v>
      </c>
      <c r="L98" s="36">
        <v>42826</v>
      </c>
      <c r="M98" s="85"/>
      <c r="N98" s="86" t="s">
        <v>153</v>
      </c>
      <c r="O98" s="86" t="s">
        <v>1828</v>
      </c>
      <c r="P98" s="86" t="s">
        <v>617</v>
      </c>
      <c r="Q98" s="86" t="s">
        <v>2036</v>
      </c>
      <c r="R98" s="86" t="s">
        <v>209</v>
      </c>
      <c r="S98" s="85">
        <v>39862</v>
      </c>
      <c r="T98" s="86" t="s">
        <v>275</v>
      </c>
      <c r="U98" s="85">
        <v>39600</v>
      </c>
      <c r="V98" s="86"/>
      <c r="W98" s="85"/>
      <c r="X98" s="86"/>
      <c r="Y98" s="86"/>
      <c r="Z98" s="37"/>
      <c r="AA98" s="37"/>
      <c r="AB98" s="86"/>
      <c r="AC98" s="37"/>
      <c r="AD98" s="91">
        <v>126</v>
      </c>
      <c r="AE98" s="86" t="str">
        <f>(TRUNC(AD98/12))&amp;"년 "&amp;(ROUNDDOWN(MOD(AD98,12),0))&amp;"개월"</f>
        <v>10년 6개월</v>
      </c>
      <c r="AF98" s="39">
        <f ca="1">($AL$1-K98)/30</f>
        <v>75.066666666666663</v>
      </c>
      <c r="AG98" s="86" t="str">
        <f ca="1">(TRUNC(AF98/12))&amp;"년 "&amp;(ROUNDDOWN(MOD(AF98,12),0))&amp;"개월"</f>
        <v>6년 3개월</v>
      </c>
      <c r="AH98" s="39">
        <f ca="1">+AD98+AF98</f>
        <v>201.06666666666666</v>
      </c>
      <c r="AI98" s="39" t="str">
        <f ca="1">(TRUNC(AH98/12))&amp;"년 "&amp;(ROUNDDOWN(MOD(AH98,12),0))&amp;"개월"</f>
        <v>16년 9개월</v>
      </c>
      <c r="AJ98" s="96" t="s">
        <v>1829</v>
      </c>
      <c r="AK98" s="86" t="s">
        <v>1830</v>
      </c>
      <c r="AL98" s="50" t="s">
        <v>1831</v>
      </c>
      <c r="AM98" s="37"/>
      <c r="AN98" s="86" t="s">
        <v>1832</v>
      </c>
      <c r="AO98" s="54" t="s">
        <v>3451</v>
      </c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</row>
    <row r="99" spans="1:52" ht="15.75" customHeight="1">
      <c r="A99" s="33" t="s">
        <v>204</v>
      </c>
      <c r="B99" s="86">
        <v>210104</v>
      </c>
      <c r="C99" s="81" t="s">
        <v>193</v>
      </c>
      <c r="D99" s="104" t="s">
        <v>3527</v>
      </c>
      <c r="E99" s="104"/>
      <c r="F99" s="86" t="s">
        <v>34</v>
      </c>
      <c r="G99" s="87" t="s">
        <v>3528</v>
      </c>
      <c r="H99" s="83" t="s">
        <v>2463</v>
      </c>
      <c r="I99" s="82"/>
      <c r="J99" s="86" t="s">
        <v>3529</v>
      </c>
      <c r="K99" s="85">
        <v>44221</v>
      </c>
      <c r="L99" s="36"/>
      <c r="M99" s="85"/>
      <c r="N99" s="37" t="s">
        <v>153</v>
      </c>
      <c r="O99" s="37" t="s">
        <v>2003</v>
      </c>
      <c r="P99" s="86" t="s">
        <v>457</v>
      </c>
      <c r="Q99" s="86" t="s">
        <v>711</v>
      </c>
      <c r="R99" s="37" t="s">
        <v>209</v>
      </c>
      <c r="S99" s="36">
        <v>42602</v>
      </c>
      <c r="T99" s="37" t="s">
        <v>569</v>
      </c>
      <c r="U99" s="85">
        <v>36367</v>
      </c>
      <c r="V99" s="37" t="s">
        <v>526</v>
      </c>
      <c r="W99" s="85">
        <v>39428</v>
      </c>
      <c r="X99" s="37"/>
      <c r="Y99" s="85"/>
      <c r="Z99" s="37"/>
      <c r="AA99" s="86"/>
      <c r="AB99" s="37"/>
      <c r="AC99" s="37"/>
      <c r="AD99" s="91">
        <v>163</v>
      </c>
      <c r="AE99" s="86" t="str">
        <f>(TRUNC(AD99/12))&amp;"년 "&amp;(ROUNDDOWN(MOD(AD99,12),0))&amp;"개월"</f>
        <v>13년 7개월</v>
      </c>
      <c r="AF99" s="39">
        <f ca="1">($AL$1-K99)/30</f>
        <v>63.1</v>
      </c>
      <c r="AG99" s="86" t="str">
        <f ca="1">(TRUNC(AF99/12))&amp;"년 "&amp;(ROUNDDOWN(MOD(AF99,12),0))&amp;"개월"</f>
        <v>5년 3개월</v>
      </c>
      <c r="AH99" s="39">
        <f ca="1">+AD99+AF99</f>
        <v>226.1</v>
      </c>
      <c r="AI99" s="39" t="str">
        <f ca="1">(TRUNC(AH99/12))&amp;"년 "&amp;(ROUNDDOWN(MOD(AH99,12),0))&amp;"개월"</f>
        <v>18년 10개월</v>
      </c>
      <c r="AJ99" s="96" t="s">
        <v>3530</v>
      </c>
      <c r="AK99" s="86" t="s">
        <v>3531</v>
      </c>
      <c r="AL99" s="50" t="s">
        <v>3532</v>
      </c>
      <c r="AM99" s="37"/>
      <c r="AN99" s="37" t="s">
        <v>3533</v>
      </c>
      <c r="AO99" s="54" t="s">
        <v>3534</v>
      </c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</row>
    <row r="100" spans="1:52" ht="15.75" customHeight="1">
      <c r="A100" s="33" t="s">
        <v>818</v>
      </c>
      <c r="B100" s="86">
        <v>210502</v>
      </c>
      <c r="C100" s="81" t="s">
        <v>924</v>
      </c>
      <c r="D100" s="98" t="s">
        <v>3569</v>
      </c>
      <c r="E100" s="104"/>
      <c r="F100" s="86" t="s">
        <v>51</v>
      </c>
      <c r="G100" s="87"/>
      <c r="H100" s="83" t="s">
        <v>2463</v>
      </c>
      <c r="I100" s="82"/>
      <c r="J100" s="86" t="s">
        <v>3570</v>
      </c>
      <c r="K100" s="85">
        <v>44319</v>
      </c>
      <c r="L100" s="36"/>
      <c r="M100" s="85"/>
      <c r="N100" s="86" t="s">
        <v>448</v>
      </c>
      <c r="O100" s="86" t="s">
        <v>3571</v>
      </c>
      <c r="P100" s="86" t="s">
        <v>3572</v>
      </c>
      <c r="Q100" s="86" t="s">
        <v>711</v>
      </c>
      <c r="R100" s="86" t="s">
        <v>448</v>
      </c>
      <c r="S100" s="85">
        <v>41698</v>
      </c>
      <c r="T100" s="37"/>
      <c r="U100" s="85"/>
      <c r="V100" s="37" t="s">
        <v>2752</v>
      </c>
      <c r="W100" s="85">
        <v>41996</v>
      </c>
      <c r="X100" s="37"/>
      <c r="Y100" s="85"/>
      <c r="Z100" s="37"/>
      <c r="AA100" s="37"/>
      <c r="AB100" s="37"/>
      <c r="AC100" s="37"/>
      <c r="AD100" s="91"/>
      <c r="AE100" s="86" t="str">
        <f>(TRUNC(AD100/12))&amp;"년 "&amp;(ROUNDDOWN(MOD(AD100,12),0))&amp;"개월"</f>
        <v>0년 0개월</v>
      </c>
      <c r="AF100" s="39">
        <f ca="1">($AL$1-K100)/30</f>
        <v>59.833333333333336</v>
      </c>
      <c r="AG100" s="86" t="str">
        <f ca="1">(TRUNC(AF100/12))&amp;"년 "&amp;(ROUNDDOWN(MOD(AF100,12),0))&amp;"개월"</f>
        <v>4년 11개월</v>
      </c>
      <c r="AH100" s="39">
        <f ca="1">+AD100+AF100</f>
        <v>59.833333333333336</v>
      </c>
      <c r="AI100" s="91" t="str">
        <f ca="1">(TRUNC(AH100/12))&amp;"년 "&amp;(ROUNDDOWN(MOD(AH100,12),0))&amp;"개월"</f>
        <v>4년 11개월</v>
      </c>
      <c r="AJ100" s="96" t="s">
        <v>3573</v>
      </c>
      <c r="AK100" s="86" t="s">
        <v>3574</v>
      </c>
      <c r="AL100" s="50" t="s">
        <v>3575</v>
      </c>
      <c r="AM100" s="37"/>
      <c r="AN100" s="86" t="s">
        <v>3576</v>
      </c>
      <c r="AO100" s="54" t="s">
        <v>3577</v>
      </c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</row>
    <row r="101" spans="1:52" ht="15.75" customHeight="1">
      <c r="A101" s="33" t="s">
        <v>633</v>
      </c>
      <c r="B101" s="86">
        <v>211201</v>
      </c>
      <c r="C101" s="81" t="s">
        <v>924</v>
      </c>
      <c r="D101" s="98" t="s">
        <v>3652</v>
      </c>
      <c r="E101" s="104"/>
      <c r="F101" s="86" t="s">
        <v>51</v>
      </c>
      <c r="G101" s="87"/>
      <c r="H101" s="83" t="s">
        <v>2463</v>
      </c>
      <c r="I101" s="82"/>
      <c r="J101" s="86" t="s">
        <v>3653</v>
      </c>
      <c r="K101" s="85">
        <v>44531</v>
      </c>
      <c r="L101" s="36"/>
      <c r="M101" s="85"/>
      <c r="N101" s="86" t="s">
        <v>448</v>
      </c>
      <c r="O101" s="86" t="s">
        <v>3654</v>
      </c>
      <c r="P101" s="86" t="s">
        <v>3655</v>
      </c>
      <c r="Q101" s="86" t="s">
        <v>870</v>
      </c>
      <c r="R101" s="86" t="s">
        <v>448</v>
      </c>
      <c r="S101" s="85">
        <v>42047</v>
      </c>
      <c r="T101" s="86"/>
      <c r="U101" s="85"/>
      <c r="V101" s="86" t="s">
        <v>2752</v>
      </c>
      <c r="W101" s="85">
        <v>44495</v>
      </c>
      <c r="X101" s="37" t="s">
        <v>764</v>
      </c>
      <c r="Y101" s="85"/>
      <c r="Z101" s="37"/>
      <c r="AA101" s="37"/>
      <c r="AB101" s="37"/>
      <c r="AC101" s="37"/>
      <c r="AD101" s="91">
        <v>0</v>
      </c>
      <c r="AE101" s="86" t="str">
        <f>(TRUNC(AD101/12))&amp;"년 "&amp;(ROUNDDOWN(MOD(AD101,12),0))&amp;"개월"</f>
        <v>0년 0개월</v>
      </c>
      <c r="AF101" s="39">
        <f ca="1">($AL$1-K101)/30</f>
        <v>52.766666666666666</v>
      </c>
      <c r="AG101" s="86" t="str">
        <f ca="1">(TRUNC(AF101/12))&amp;"년 "&amp;(ROUNDDOWN(MOD(AF101,12),0))&amp;"개월"</f>
        <v>4년 4개월</v>
      </c>
      <c r="AH101" s="39">
        <f ca="1">+AD101+AF101</f>
        <v>52.766666666666666</v>
      </c>
      <c r="AI101" s="91" t="str">
        <f ca="1">(TRUNC(AH101/12))&amp;"년 "&amp;(ROUNDDOWN(MOD(AH101,12),0))&amp;"개월"</f>
        <v>4년 4개월</v>
      </c>
      <c r="AJ101" s="96" t="s">
        <v>3656</v>
      </c>
      <c r="AK101" s="86" t="s">
        <v>3657</v>
      </c>
      <c r="AL101" s="50" t="s">
        <v>3658</v>
      </c>
      <c r="AM101" s="37"/>
      <c r="AN101" s="86" t="s">
        <v>3659</v>
      </c>
      <c r="AO101" s="54" t="s">
        <v>3619</v>
      </c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</row>
    <row r="102" spans="1:52" ht="16.5" customHeight="1">
      <c r="A102" s="33" t="s">
        <v>3780</v>
      </c>
      <c r="B102" s="81" t="s">
        <v>3781</v>
      </c>
      <c r="C102" s="81" t="s">
        <v>193</v>
      </c>
      <c r="D102" s="108" t="s">
        <v>3782</v>
      </c>
      <c r="E102" s="108"/>
      <c r="F102" s="82" t="s">
        <v>51</v>
      </c>
      <c r="G102" s="82"/>
      <c r="H102" s="83" t="s">
        <v>2463</v>
      </c>
      <c r="I102" s="93" t="s">
        <v>2464</v>
      </c>
      <c r="J102" s="84" t="s">
        <v>3783</v>
      </c>
      <c r="K102" s="85">
        <v>44760</v>
      </c>
      <c r="L102" s="36"/>
      <c r="M102" s="85"/>
      <c r="N102" s="86" t="s">
        <v>153</v>
      </c>
      <c r="O102" s="86" t="s">
        <v>3784</v>
      </c>
      <c r="P102" s="87" t="s">
        <v>2784</v>
      </c>
      <c r="Q102" s="87" t="s">
        <v>1433</v>
      </c>
      <c r="R102" s="86" t="s">
        <v>209</v>
      </c>
      <c r="S102" s="85">
        <v>43882</v>
      </c>
      <c r="T102" s="86"/>
      <c r="U102" s="85"/>
      <c r="V102" s="37"/>
      <c r="W102" s="85"/>
      <c r="X102" s="37"/>
      <c r="Y102" s="85"/>
      <c r="Z102" s="37"/>
      <c r="AA102" s="37"/>
      <c r="AB102" s="85"/>
      <c r="AC102" s="37"/>
      <c r="AD102" s="91">
        <v>0</v>
      </c>
      <c r="AE102" s="38" t="str">
        <f>(TRUNC(AD102/12))&amp;"년 "&amp;(ROUNDDOWN(MOD(AD102,12),0))&amp;"개월"</f>
        <v>0년 0개월</v>
      </c>
      <c r="AF102" s="39">
        <f ca="1">($AL$1-K102)/30</f>
        <v>45.133333333333333</v>
      </c>
      <c r="AG102" s="39" t="str">
        <f ca="1">(TRUNC(AF102/12))&amp;"년 "&amp;(ROUNDDOWN(MOD(AF102,12),0))&amp;"개월"</f>
        <v>3년 9개월</v>
      </c>
      <c r="AH102" s="39">
        <f ca="1">+AD102+AF102</f>
        <v>45.133333333333333</v>
      </c>
      <c r="AI102" s="39" t="str">
        <f ca="1">(TRUNC(AH102/12))&amp;"년 "&amp;(ROUNDDOWN(MOD(AH102,12),0))&amp;"개월"</f>
        <v>3년 9개월</v>
      </c>
      <c r="AJ102" s="88" t="s">
        <v>3785</v>
      </c>
      <c r="AK102" s="81" t="s">
        <v>3786</v>
      </c>
      <c r="AL102" s="92" t="s">
        <v>3787</v>
      </c>
      <c r="AM102" s="90"/>
      <c r="AN102" s="86" t="s">
        <v>3788</v>
      </c>
      <c r="AO102" s="54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</row>
    <row r="103" spans="1:52" ht="15.75" customHeight="1">
      <c r="A103" s="33" t="s">
        <v>1944</v>
      </c>
      <c r="B103" s="86">
        <v>230102</v>
      </c>
      <c r="C103" s="86" t="s">
        <v>193</v>
      </c>
      <c r="D103" s="98" t="s">
        <v>3864</v>
      </c>
      <c r="E103" s="104"/>
      <c r="F103" s="86" t="s">
        <v>88</v>
      </c>
      <c r="G103" s="86"/>
      <c r="H103" s="83" t="s">
        <v>2463</v>
      </c>
      <c r="I103" s="86" t="s">
        <v>3865</v>
      </c>
      <c r="J103" s="86" t="s">
        <v>3866</v>
      </c>
      <c r="K103" s="85">
        <v>44928</v>
      </c>
      <c r="L103" s="36"/>
      <c r="M103" s="86"/>
      <c r="N103" s="86" t="s">
        <v>153</v>
      </c>
      <c r="O103" s="86" t="s">
        <v>3867</v>
      </c>
      <c r="P103" s="86" t="s">
        <v>710</v>
      </c>
      <c r="Q103" s="86" t="s">
        <v>1134</v>
      </c>
      <c r="R103" s="86" t="s">
        <v>209</v>
      </c>
      <c r="S103" s="85">
        <v>41691</v>
      </c>
      <c r="T103" s="37" t="s">
        <v>3868</v>
      </c>
      <c r="U103" s="113">
        <v>41244</v>
      </c>
      <c r="V103" s="37"/>
      <c r="W103" s="86"/>
      <c r="X103" s="37"/>
      <c r="Y103" s="37"/>
      <c r="Z103" s="37"/>
      <c r="AA103" s="37"/>
      <c r="AB103" s="37"/>
      <c r="AC103" s="37"/>
      <c r="AD103" s="91">
        <v>103</v>
      </c>
      <c r="AE103" s="87" t="str">
        <f>(TRUNC(AD103/12))&amp;"년 "&amp;(ROUNDDOWN(MOD(AD103,12),0))&amp;"개월"</f>
        <v>8년 7개월</v>
      </c>
      <c r="AF103" s="39">
        <f ca="1">($AL$1-K103)/30</f>
        <v>39.533333333333331</v>
      </c>
      <c r="AG103" s="91" t="str">
        <f ca="1">(TRUNC(AF103/12))&amp;"년 "&amp;(ROUNDDOWN(MOD(AF103,12),0))&amp;"개월"</f>
        <v>3년 3개월</v>
      </c>
      <c r="AH103" s="39">
        <f ca="1">+AD103+AF103</f>
        <v>142.53333333333333</v>
      </c>
      <c r="AI103" s="39" t="str">
        <f ca="1">(TRUNC(AH103/12))&amp;"년 "&amp;(ROUNDDOWN(MOD(AH103,12),0))&amp;"개월"</f>
        <v>11년 10개월</v>
      </c>
      <c r="AJ103" s="96" t="s">
        <v>3869</v>
      </c>
      <c r="AK103" s="86" t="s">
        <v>3870</v>
      </c>
      <c r="AL103" s="153" t="s">
        <v>3871</v>
      </c>
      <c r="AM103" s="37"/>
      <c r="AN103" s="86" t="s">
        <v>3872</v>
      </c>
      <c r="AO103" s="86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</row>
    <row r="104" spans="1:52" ht="15.75" customHeight="1">
      <c r="A104" s="33" t="s">
        <v>4064</v>
      </c>
      <c r="B104" s="86">
        <v>240802</v>
      </c>
      <c r="C104" s="86" t="s">
        <v>193</v>
      </c>
      <c r="D104" s="98" t="s">
        <v>4065</v>
      </c>
      <c r="E104" s="104"/>
      <c r="F104" s="86" t="s">
        <v>51</v>
      </c>
      <c r="G104" s="86"/>
      <c r="H104" s="83" t="s">
        <v>2463</v>
      </c>
      <c r="I104" s="86" t="s">
        <v>4066</v>
      </c>
      <c r="J104" s="86" t="s">
        <v>4067</v>
      </c>
      <c r="K104" s="85">
        <v>45516</v>
      </c>
      <c r="L104" s="36"/>
      <c r="M104" s="86"/>
      <c r="N104" s="86" t="s">
        <v>153</v>
      </c>
      <c r="O104" s="86" t="s">
        <v>1736</v>
      </c>
      <c r="P104" s="86" t="s">
        <v>1281</v>
      </c>
      <c r="Q104" s="86" t="s">
        <v>870</v>
      </c>
      <c r="R104" s="86" t="s">
        <v>209</v>
      </c>
      <c r="S104" s="100">
        <v>44044</v>
      </c>
      <c r="T104" s="86" t="s">
        <v>275</v>
      </c>
      <c r="U104" s="85">
        <v>44729</v>
      </c>
      <c r="V104" s="86" t="s">
        <v>1249</v>
      </c>
      <c r="W104" s="85">
        <v>44501</v>
      </c>
      <c r="X104" s="86"/>
      <c r="Y104" s="86"/>
      <c r="Z104" s="37"/>
      <c r="AA104" s="37"/>
      <c r="AB104" s="37"/>
      <c r="AC104" s="37" t="s">
        <v>210</v>
      </c>
      <c r="AD104" s="91">
        <v>32.5</v>
      </c>
      <c r="AE104" s="87" t="str">
        <f>(TRUNC(AD104/12))&amp;"년 "&amp;(ROUNDDOWN(MOD(AD104,12),0))&amp;"개월"</f>
        <v>2년 8개월</v>
      </c>
      <c r="AF104" s="39">
        <f ca="1">(재직자!$AL$1-K104)/30</f>
        <v>19.933333333333334</v>
      </c>
      <c r="AG104" s="91" t="str">
        <f ca="1">(TRUNC(AF104/12))&amp;"년 "&amp;(ROUNDDOWN(MOD(AF104,12),0))&amp;"개월"</f>
        <v>1년 7개월</v>
      </c>
      <c r="AH104" s="39">
        <f ca="1">+AD104+AF104</f>
        <v>52.433333333333337</v>
      </c>
      <c r="AI104" s="39" t="str">
        <f ca="1">(TRUNC(AH104/12))&amp;"년 "&amp;(ROUNDDOWN(MOD(AH104,12),0))&amp;"개월"</f>
        <v>4년 4개월</v>
      </c>
      <c r="AJ104" s="96" t="s">
        <v>4068</v>
      </c>
      <c r="AK104" s="86" t="s">
        <v>4069</v>
      </c>
      <c r="AL104" s="96" t="s">
        <v>1499</v>
      </c>
      <c r="AM104" s="37"/>
      <c r="AN104" s="86" t="s">
        <v>4070</v>
      </c>
      <c r="AO104" s="86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</row>
    <row r="105" spans="1:52" ht="15.75" customHeight="1">
      <c r="A105" s="33" t="s">
        <v>2641</v>
      </c>
      <c r="B105" s="86">
        <v>240902</v>
      </c>
      <c r="C105" s="86" t="s">
        <v>2369</v>
      </c>
      <c r="D105" s="98" t="s">
        <v>4071</v>
      </c>
      <c r="E105" s="104">
        <v>1</v>
      </c>
      <c r="F105" s="86" t="s">
        <v>228</v>
      </c>
      <c r="G105" s="86"/>
      <c r="H105" s="83" t="s">
        <v>2402</v>
      </c>
      <c r="I105" s="86" t="s">
        <v>120</v>
      </c>
      <c r="J105" s="86" t="s">
        <v>4072</v>
      </c>
      <c r="K105" s="85">
        <v>45544</v>
      </c>
      <c r="L105" s="36"/>
      <c r="M105" s="86"/>
      <c r="N105" s="103" t="s">
        <v>146</v>
      </c>
      <c r="O105" s="86" t="s">
        <v>3018</v>
      </c>
      <c r="P105" s="86" t="s">
        <v>4073</v>
      </c>
      <c r="Q105" s="86" t="s">
        <v>964</v>
      </c>
      <c r="R105" s="86" t="s">
        <v>265</v>
      </c>
      <c r="S105" s="85">
        <v>36219</v>
      </c>
      <c r="T105" s="86"/>
      <c r="U105" s="86"/>
      <c r="V105" s="37"/>
      <c r="W105" s="86"/>
      <c r="X105" s="37"/>
      <c r="Y105" s="86"/>
      <c r="Z105" s="37"/>
      <c r="AA105" s="37"/>
      <c r="AB105" s="37"/>
      <c r="AC105" s="86"/>
      <c r="AD105" s="91">
        <v>231</v>
      </c>
      <c r="AE105" s="87" t="str">
        <f>(TRUNC(AD105/12))&amp;"년 "&amp;(ROUNDDOWN(MOD(AD105,12),0))&amp;"개월"</f>
        <v>19년 3개월</v>
      </c>
      <c r="AF105" s="39">
        <f ca="1">(재직자!$AL$1-K105)/30</f>
        <v>19</v>
      </c>
      <c r="AG105" s="91" t="str">
        <f ca="1">(TRUNC(AF105/12))&amp;"년 "&amp;(ROUNDDOWN(MOD(AF105,12),0))&amp;"개월"</f>
        <v>1년 7개월</v>
      </c>
      <c r="AH105" s="39">
        <f ca="1">+AD105+AF105</f>
        <v>250</v>
      </c>
      <c r="AI105" s="39" t="str">
        <f ca="1">(TRUNC(AH105/12))&amp;"년 "&amp;(ROUNDDOWN(MOD(AH105,12),0))&amp;"개월"</f>
        <v>20년 10개월</v>
      </c>
      <c r="AJ105" s="96" t="s">
        <v>4074</v>
      </c>
      <c r="AK105" s="86" t="s">
        <v>4075</v>
      </c>
      <c r="AL105" s="96" t="s">
        <v>4076</v>
      </c>
      <c r="AM105" s="37"/>
      <c r="AN105" s="86" t="s">
        <v>4077</v>
      </c>
      <c r="AO105" s="86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</row>
    <row r="106" spans="1:52" ht="15.75" customHeight="1">
      <c r="A106" s="33" t="s">
        <v>1158</v>
      </c>
      <c r="B106" s="86">
        <v>221102</v>
      </c>
      <c r="C106" s="86" t="s">
        <v>2369</v>
      </c>
      <c r="D106" s="98" t="s">
        <v>3830</v>
      </c>
      <c r="E106" s="104"/>
      <c r="F106" s="86" t="s">
        <v>139</v>
      </c>
      <c r="G106" s="86"/>
      <c r="H106" s="83" t="s">
        <v>2402</v>
      </c>
      <c r="I106" s="86" t="s">
        <v>120</v>
      </c>
      <c r="J106" s="103" t="s">
        <v>3831</v>
      </c>
      <c r="K106" s="85">
        <v>44872</v>
      </c>
      <c r="L106" s="36"/>
      <c r="M106" s="86"/>
      <c r="N106" s="86" t="s">
        <v>196</v>
      </c>
      <c r="O106" s="86" t="s">
        <v>3832</v>
      </c>
      <c r="P106" s="86" t="s">
        <v>3833</v>
      </c>
      <c r="Q106" s="37" t="s">
        <v>711</v>
      </c>
      <c r="R106" s="86" t="s">
        <v>198</v>
      </c>
      <c r="S106" s="85">
        <v>44433</v>
      </c>
      <c r="T106" s="86" t="s">
        <v>3834</v>
      </c>
      <c r="U106" s="100">
        <v>44468</v>
      </c>
      <c r="V106" s="86"/>
      <c r="W106" s="86"/>
      <c r="X106" s="37"/>
      <c r="Y106" s="86"/>
      <c r="Z106" s="37"/>
      <c r="AA106" s="37"/>
      <c r="AB106" s="37"/>
      <c r="AC106" s="37"/>
      <c r="AD106" s="91">
        <v>236</v>
      </c>
      <c r="AE106" s="87" t="str">
        <f>(TRUNC(AD106/12))&amp;"년 "&amp;(ROUNDDOWN(MOD(AD106,12),0))&amp;"개월"</f>
        <v>19년 8개월</v>
      </c>
      <c r="AF106" s="39">
        <f ca="1">($AL$1-K106)/30</f>
        <v>41.4</v>
      </c>
      <c r="AG106" s="91" t="str">
        <f ca="1">(TRUNC(AF106/12))&amp;"년 "&amp;(ROUNDDOWN(MOD(AF106,12),0))&amp;"개월"</f>
        <v>3년 5개월</v>
      </c>
      <c r="AH106" s="39">
        <f ca="1">+AD106+AF106</f>
        <v>277.39999999999998</v>
      </c>
      <c r="AI106" s="39" t="str">
        <f ca="1">(TRUNC(AH106/12))&amp;"년 "&amp;(ROUNDDOWN(MOD(AH106,12),0))&amp;"개월"</f>
        <v>23년 1개월</v>
      </c>
      <c r="AJ106" s="96" t="s">
        <v>3835</v>
      </c>
      <c r="AK106" s="86" t="s">
        <v>3836</v>
      </c>
      <c r="AL106" s="96" t="s">
        <v>3837</v>
      </c>
      <c r="AM106" s="37"/>
      <c r="AN106" s="86" t="s">
        <v>3838</v>
      </c>
      <c r="AO106" s="86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</row>
    <row r="107" spans="1:52" ht="15.75" customHeight="1">
      <c r="A107" s="33" t="s">
        <v>2050</v>
      </c>
      <c r="B107" s="86">
        <v>230301</v>
      </c>
      <c r="C107" s="86" t="s">
        <v>226</v>
      </c>
      <c r="D107" s="104" t="s">
        <v>3903</v>
      </c>
      <c r="E107" s="104"/>
      <c r="F107" s="86" t="s">
        <v>44</v>
      </c>
      <c r="G107" s="86"/>
      <c r="H107" s="83" t="s">
        <v>2402</v>
      </c>
      <c r="I107" s="86" t="s">
        <v>120</v>
      </c>
      <c r="J107" s="86" t="s">
        <v>3904</v>
      </c>
      <c r="K107" s="85">
        <v>44987</v>
      </c>
      <c r="L107" s="36"/>
      <c r="M107" s="86"/>
      <c r="N107" s="86" t="s">
        <v>153</v>
      </c>
      <c r="O107" s="86" t="s">
        <v>506</v>
      </c>
      <c r="P107" s="86" t="s">
        <v>2905</v>
      </c>
      <c r="Q107" s="86" t="s">
        <v>711</v>
      </c>
      <c r="R107" s="86" t="s">
        <v>209</v>
      </c>
      <c r="S107" s="100">
        <v>44426</v>
      </c>
      <c r="T107" s="86"/>
      <c r="U107" s="86"/>
      <c r="V107" s="86"/>
      <c r="W107" s="86"/>
      <c r="X107" s="37"/>
      <c r="Y107" s="86"/>
      <c r="Z107" s="37"/>
      <c r="AA107" s="37"/>
      <c r="AB107" s="86"/>
      <c r="AC107" s="37"/>
      <c r="AD107" s="91">
        <v>36</v>
      </c>
      <c r="AE107" s="38" t="str">
        <f>(TRUNC(AD107/12))&amp;"년 "&amp;(ROUNDDOWN(MOD(AD107,12),0))&amp;"개월"</f>
        <v>3년 0개월</v>
      </c>
      <c r="AF107" s="39">
        <f ca="1">($AL$1-K107)/30</f>
        <v>37.56666666666667</v>
      </c>
      <c r="AG107" s="39" t="str">
        <f ca="1">(TRUNC(AF107/12))&amp;"년 "&amp;(ROUNDDOWN(MOD(AF107,12),0))&amp;"개월"</f>
        <v>3년 1개월</v>
      </c>
      <c r="AH107" s="39">
        <f ca="1">+AD107+AF107</f>
        <v>73.566666666666663</v>
      </c>
      <c r="AI107" s="39" t="str">
        <f ca="1">(TRUNC(AH107/12))&amp;"년 "&amp;(ROUNDDOWN(MOD(AH107,12),0))&amp;"개월"</f>
        <v>6년 1개월</v>
      </c>
      <c r="AJ107" s="96" t="s">
        <v>3905</v>
      </c>
      <c r="AK107" s="86" t="s">
        <v>3906</v>
      </c>
      <c r="AL107" s="96" t="s">
        <v>3907</v>
      </c>
      <c r="AM107" s="86"/>
      <c r="AN107" s="86" t="s">
        <v>3908</v>
      </c>
      <c r="AO107" s="86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</row>
    <row r="108" spans="1:52" ht="15.75" customHeight="1">
      <c r="A108" s="33" t="s">
        <v>2470</v>
      </c>
      <c r="B108" s="86">
        <v>240901</v>
      </c>
      <c r="C108" s="86" t="s">
        <v>2369</v>
      </c>
      <c r="D108" s="98" t="s">
        <v>4078</v>
      </c>
      <c r="E108" s="104"/>
      <c r="F108" s="86" t="s">
        <v>139</v>
      </c>
      <c r="G108" s="37"/>
      <c r="H108" s="83" t="s">
        <v>2402</v>
      </c>
      <c r="I108" s="86" t="s">
        <v>120</v>
      </c>
      <c r="J108" s="86" t="s">
        <v>4079</v>
      </c>
      <c r="K108" s="85">
        <v>45544</v>
      </c>
      <c r="L108" s="36"/>
      <c r="M108" s="37"/>
      <c r="N108" s="86" t="s">
        <v>196</v>
      </c>
      <c r="O108" s="86" t="s">
        <v>4080</v>
      </c>
      <c r="P108" s="86" t="s">
        <v>4081</v>
      </c>
      <c r="Q108" s="86" t="s">
        <v>711</v>
      </c>
      <c r="R108" s="86" t="s">
        <v>198</v>
      </c>
      <c r="S108" s="85">
        <v>36130</v>
      </c>
      <c r="T108" s="86"/>
      <c r="U108" s="86"/>
      <c r="V108" s="37"/>
      <c r="W108" s="37"/>
      <c r="X108" s="37"/>
      <c r="Y108" s="37"/>
      <c r="Z108" s="37"/>
      <c r="AA108" s="37"/>
      <c r="AB108" s="37"/>
      <c r="AC108" s="37"/>
      <c r="AD108" s="91">
        <v>328.6</v>
      </c>
      <c r="AE108" s="38" t="str">
        <f>(TRUNC(AD108/12))&amp;"년 "&amp;(ROUNDDOWN(MOD(AD108,12),0))&amp;"개월"</f>
        <v>27년 4개월</v>
      </c>
      <c r="AF108" s="39">
        <f ca="1">(재직자!$AL$1-K108)/30</f>
        <v>19</v>
      </c>
      <c r="AG108" s="39" t="str">
        <f ca="1">(TRUNC(AF108/12))&amp;"년 "&amp;(ROUNDDOWN(MOD(AF108,12),0))&amp;"개월"</f>
        <v>1년 7개월</v>
      </c>
      <c r="AH108" s="39">
        <f ca="1">+AD108+AF108</f>
        <v>347.6</v>
      </c>
      <c r="AI108" s="39" t="str">
        <f ca="1">(TRUNC(AH108/12))&amp;"년 "&amp;(ROUNDDOWN(MOD(AH108,12),0))&amp;"개월"</f>
        <v>28년 11개월</v>
      </c>
      <c r="AJ108" s="96" t="s">
        <v>4082</v>
      </c>
      <c r="AK108" s="86" t="s">
        <v>4083</v>
      </c>
      <c r="AL108" s="96" t="s">
        <v>2123</v>
      </c>
      <c r="AM108" s="37"/>
      <c r="AN108" s="86" t="s">
        <v>4084</v>
      </c>
      <c r="AO108" s="37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</row>
    <row r="109" spans="1:52" ht="15.75" customHeight="1">
      <c r="A109" s="33" t="s">
        <v>899</v>
      </c>
      <c r="B109" s="86">
        <v>210901</v>
      </c>
      <c r="C109" s="81" t="s">
        <v>2369</v>
      </c>
      <c r="D109" s="98" t="s">
        <v>3628</v>
      </c>
      <c r="E109" s="104"/>
      <c r="F109" s="86" t="s">
        <v>228</v>
      </c>
      <c r="G109" s="87"/>
      <c r="H109" s="83" t="s">
        <v>2402</v>
      </c>
      <c r="I109" s="86" t="s">
        <v>120</v>
      </c>
      <c r="J109" s="86" t="s">
        <v>3629</v>
      </c>
      <c r="K109" s="85">
        <v>44440</v>
      </c>
      <c r="L109" s="36"/>
      <c r="M109" s="85"/>
      <c r="N109" s="86" t="s">
        <v>153</v>
      </c>
      <c r="O109" s="86" t="s">
        <v>616</v>
      </c>
      <c r="P109" s="86" t="s">
        <v>1342</v>
      </c>
      <c r="Q109" s="86" t="s">
        <v>763</v>
      </c>
      <c r="R109" s="86" t="s">
        <v>209</v>
      </c>
      <c r="S109" s="85">
        <v>36574</v>
      </c>
      <c r="T109" s="86"/>
      <c r="U109" s="149"/>
      <c r="V109" s="86"/>
      <c r="W109" s="85"/>
      <c r="X109" s="86"/>
      <c r="Y109" s="85"/>
      <c r="Z109" s="37"/>
      <c r="AA109" s="37"/>
      <c r="AB109" s="37"/>
      <c r="AC109" s="37"/>
      <c r="AD109" s="91">
        <v>239</v>
      </c>
      <c r="AE109" s="86" t="str">
        <f>(TRUNC(AD109/12))&amp;"년 "&amp;(ROUNDDOWN(MOD(AD109,12),0))&amp;"개월"</f>
        <v>19년 11개월</v>
      </c>
      <c r="AF109" s="39">
        <f ca="1">($AL$1-K109)/30</f>
        <v>55.8</v>
      </c>
      <c r="AG109" s="86" t="str">
        <f ca="1">(TRUNC(AF109/12))&amp;"년 "&amp;(ROUNDDOWN(MOD(AF109,12),0))&amp;"개월"</f>
        <v>4년 7개월</v>
      </c>
      <c r="AH109" s="39">
        <f ca="1">+AD109+AF109</f>
        <v>294.8</v>
      </c>
      <c r="AI109" s="39" t="str">
        <f ca="1">(TRUNC(AH109/12))&amp;"년 "&amp;(ROUNDDOWN(MOD(AH109,12),0))&amp;"개월"</f>
        <v>24년 6개월</v>
      </c>
      <c r="AJ109" s="96" t="s">
        <v>3630</v>
      </c>
      <c r="AK109" s="86" t="s">
        <v>3631</v>
      </c>
      <c r="AL109" s="50" t="s">
        <v>3632</v>
      </c>
      <c r="AM109" s="37"/>
      <c r="AN109" s="86" t="s">
        <v>3633</v>
      </c>
      <c r="AO109" s="54" t="s">
        <v>3634</v>
      </c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</row>
    <row r="110" spans="1:52" ht="15.75" customHeight="1">
      <c r="A110" s="33" t="s">
        <v>602</v>
      </c>
      <c r="B110" s="86">
        <v>200204</v>
      </c>
      <c r="C110" s="115" t="s">
        <v>193</v>
      </c>
      <c r="D110" s="104" t="s">
        <v>3461</v>
      </c>
      <c r="E110" s="104">
        <v>1</v>
      </c>
      <c r="F110" s="86" t="s">
        <v>44</v>
      </c>
      <c r="G110" s="87" t="s">
        <v>3462</v>
      </c>
      <c r="H110" s="83" t="s">
        <v>2874</v>
      </c>
      <c r="I110" s="82"/>
      <c r="J110" s="86" t="s">
        <v>3463</v>
      </c>
      <c r="K110" s="85">
        <v>43871</v>
      </c>
      <c r="L110" s="36">
        <v>44228</v>
      </c>
      <c r="M110" s="85"/>
      <c r="N110" s="86" t="s">
        <v>153</v>
      </c>
      <c r="O110" s="86" t="s">
        <v>3117</v>
      </c>
      <c r="P110" s="86" t="s">
        <v>3464</v>
      </c>
      <c r="Q110" s="86" t="s">
        <v>763</v>
      </c>
      <c r="R110" s="86" t="s">
        <v>209</v>
      </c>
      <c r="S110" s="85">
        <v>43154</v>
      </c>
      <c r="T110" s="86"/>
      <c r="U110" s="85"/>
      <c r="V110" s="86"/>
      <c r="W110" s="85"/>
      <c r="X110" s="37"/>
      <c r="Y110" s="86"/>
      <c r="Z110" s="37"/>
      <c r="AA110" s="37"/>
      <c r="AB110" s="86"/>
      <c r="AC110" s="37"/>
      <c r="AD110" s="91">
        <v>25</v>
      </c>
      <c r="AE110" s="86" t="str">
        <f>(TRUNC(AD110/12))&amp;"년 "&amp;(ROUNDDOWN(MOD(AD110,12),0))&amp;"개월"</f>
        <v>2년 1개월</v>
      </c>
      <c r="AF110" s="39">
        <f ca="1">($AL$1-K110)/30</f>
        <v>74.766666666666666</v>
      </c>
      <c r="AG110" s="86" t="str">
        <f ca="1">(TRUNC(AF110/12))&amp;"년 "&amp;(ROUNDDOWN(MOD(AF110,12),0))&amp;"개월"</f>
        <v>6년 2개월</v>
      </c>
      <c r="AH110" s="39">
        <f ca="1">+AD110+AF110</f>
        <v>99.766666666666666</v>
      </c>
      <c r="AI110" s="39" t="str">
        <f ca="1">(TRUNC(AH110/12))&amp;"년 "&amp;(ROUNDDOWN(MOD(AH110,12),0))&amp;"개월"</f>
        <v>8년 3개월</v>
      </c>
      <c r="AJ110" s="96" t="s">
        <v>3465</v>
      </c>
      <c r="AK110" s="86" t="s">
        <v>3466</v>
      </c>
      <c r="AL110" s="50" t="s">
        <v>3467</v>
      </c>
      <c r="AM110" s="37"/>
      <c r="AN110" s="86" t="s">
        <v>3468</v>
      </c>
      <c r="AO110" s="54" t="s">
        <v>1419</v>
      </c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</row>
    <row r="111" spans="1:52" ht="15.75" customHeight="1">
      <c r="A111" s="33" t="s">
        <v>1314</v>
      </c>
      <c r="B111" s="86">
        <v>210306</v>
      </c>
      <c r="C111" s="81" t="s">
        <v>193</v>
      </c>
      <c r="D111" s="104" t="s">
        <v>3551</v>
      </c>
      <c r="E111" s="104">
        <v>1</v>
      </c>
      <c r="F111" s="86" t="s">
        <v>51</v>
      </c>
      <c r="G111" s="87"/>
      <c r="H111" s="83" t="s">
        <v>2874</v>
      </c>
      <c r="I111" s="82"/>
      <c r="J111" s="86" t="s">
        <v>3552</v>
      </c>
      <c r="K111" s="85">
        <v>44272</v>
      </c>
      <c r="L111" s="36"/>
      <c r="M111" s="85"/>
      <c r="N111" s="86" t="s">
        <v>153</v>
      </c>
      <c r="O111" s="86" t="s">
        <v>3553</v>
      </c>
      <c r="P111" s="86" t="s">
        <v>3554</v>
      </c>
      <c r="Q111" s="86" t="s">
        <v>1134</v>
      </c>
      <c r="R111" s="86" t="s">
        <v>209</v>
      </c>
      <c r="S111" s="85">
        <v>42428</v>
      </c>
      <c r="T111" s="86"/>
      <c r="U111" s="85"/>
      <c r="V111" s="86"/>
      <c r="W111" s="85"/>
      <c r="X111" s="37"/>
      <c r="Y111" s="85"/>
      <c r="Z111" s="37"/>
      <c r="AA111" s="37"/>
      <c r="AB111" s="86"/>
      <c r="AC111" s="37"/>
      <c r="AD111" s="91">
        <v>0</v>
      </c>
      <c r="AE111" s="86" t="str">
        <f>(TRUNC(AD111/12))&amp;"년 "&amp;(ROUNDDOWN(MOD(AD111,12),0))&amp;"개월"</f>
        <v>0년 0개월</v>
      </c>
      <c r="AF111" s="39">
        <f ca="1">($AL$1-K111)/30</f>
        <v>61.4</v>
      </c>
      <c r="AG111" s="86" t="str">
        <f ca="1">(TRUNC(AF111/12))&amp;"년 "&amp;(ROUNDDOWN(MOD(AF111,12),0))&amp;"개월"</f>
        <v>5년 1개월</v>
      </c>
      <c r="AH111" s="39">
        <f ca="1">+AD111+AF111</f>
        <v>61.4</v>
      </c>
      <c r="AI111" s="39" t="str">
        <f ca="1">(TRUNC(AH111/12))&amp;"년 "&amp;(ROUNDDOWN(MOD(AH111,12),0))&amp;"개월"</f>
        <v>5년 1개월</v>
      </c>
      <c r="AJ111" s="96" t="s">
        <v>3555</v>
      </c>
      <c r="AK111" s="86" t="s">
        <v>3556</v>
      </c>
      <c r="AL111" s="150" t="s">
        <v>3557</v>
      </c>
      <c r="AM111" s="86"/>
      <c r="AN111" s="86" t="s">
        <v>3558</v>
      </c>
      <c r="AO111" s="54" t="s">
        <v>3559</v>
      </c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</row>
    <row r="112" spans="1:52" ht="15.75" customHeight="1">
      <c r="A112" s="33" t="s">
        <v>280</v>
      </c>
      <c r="B112" s="86">
        <v>211203</v>
      </c>
      <c r="C112" s="81" t="s">
        <v>924</v>
      </c>
      <c r="D112" s="104" t="s">
        <v>3669</v>
      </c>
      <c r="E112" s="104">
        <v>1</v>
      </c>
      <c r="F112" s="86" t="s">
        <v>88</v>
      </c>
      <c r="G112" s="87"/>
      <c r="H112" s="83" t="s">
        <v>2874</v>
      </c>
      <c r="I112" s="82"/>
      <c r="J112" s="86" t="s">
        <v>3670</v>
      </c>
      <c r="K112" s="85">
        <v>44543</v>
      </c>
      <c r="L112" s="36"/>
      <c r="M112" s="85"/>
      <c r="N112" s="86" t="s">
        <v>448</v>
      </c>
      <c r="O112" s="86" t="s">
        <v>3671</v>
      </c>
      <c r="P112" s="86" t="s">
        <v>3672</v>
      </c>
      <c r="Q112" s="86" t="s">
        <v>1073</v>
      </c>
      <c r="R112" s="86" t="s">
        <v>448</v>
      </c>
      <c r="S112" s="85">
        <v>38037</v>
      </c>
      <c r="T112" s="37"/>
      <c r="U112" s="85"/>
      <c r="V112" s="37"/>
      <c r="W112" s="85"/>
      <c r="X112" s="37"/>
      <c r="Y112" s="85"/>
      <c r="Z112" s="37"/>
      <c r="AA112" s="37"/>
      <c r="AB112" s="86"/>
      <c r="AC112" s="37"/>
      <c r="AD112" s="91">
        <v>72</v>
      </c>
      <c r="AE112" s="86" t="str">
        <f>(TRUNC(AD112/12))&amp;"년 "&amp;(ROUNDDOWN(MOD(AD112,12),0))&amp;"개월"</f>
        <v>6년 0개월</v>
      </c>
      <c r="AF112" s="39">
        <f ca="1">($AL$1-K112)/30</f>
        <v>52.366666666666667</v>
      </c>
      <c r="AG112" s="86" t="str">
        <f ca="1">(TRUNC(AF112/12))&amp;"년 "&amp;(ROUNDDOWN(MOD(AF112,12),0))&amp;"개월"</f>
        <v>4년 4개월</v>
      </c>
      <c r="AH112" s="39">
        <f ca="1">+AD112+AF112</f>
        <v>124.36666666666667</v>
      </c>
      <c r="AI112" s="39" t="str">
        <f ca="1">(TRUNC(AH112/12))&amp;"년 "&amp;(ROUNDDOWN(MOD(AH112,12),0))&amp;"개월"</f>
        <v>10년 4개월</v>
      </c>
      <c r="AJ112" s="96" t="s">
        <v>3673</v>
      </c>
      <c r="AK112" s="86" t="s">
        <v>3674</v>
      </c>
      <c r="AL112" s="50" t="s">
        <v>3675</v>
      </c>
      <c r="AM112" s="86"/>
      <c r="AN112" s="86" t="s">
        <v>3676</v>
      </c>
      <c r="AO112" s="54" t="s">
        <v>1632</v>
      </c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</row>
    <row r="113" spans="1:52" ht="15.75" customHeight="1">
      <c r="A113" s="33" t="s">
        <v>1025</v>
      </c>
      <c r="B113" s="81" t="s">
        <v>3789</v>
      </c>
      <c r="C113" s="81" t="s">
        <v>193</v>
      </c>
      <c r="D113" s="108" t="s">
        <v>3790</v>
      </c>
      <c r="E113" s="108">
        <v>2</v>
      </c>
      <c r="F113" s="82" t="s">
        <v>228</v>
      </c>
      <c r="G113" s="82"/>
      <c r="H113" s="83" t="s">
        <v>2874</v>
      </c>
      <c r="I113" s="93" t="s">
        <v>2464</v>
      </c>
      <c r="J113" s="84" t="s">
        <v>3791</v>
      </c>
      <c r="K113" s="85">
        <v>44762</v>
      </c>
      <c r="L113" s="36"/>
      <c r="M113" s="85"/>
      <c r="N113" s="86" t="s">
        <v>153</v>
      </c>
      <c r="O113" s="86" t="s">
        <v>762</v>
      </c>
      <c r="P113" s="87" t="s">
        <v>2784</v>
      </c>
      <c r="Q113" s="147" t="s">
        <v>763</v>
      </c>
      <c r="R113" s="86" t="s">
        <v>209</v>
      </c>
      <c r="S113" s="85">
        <v>38405</v>
      </c>
      <c r="T113" s="37" t="s">
        <v>275</v>
      </c>
      <c r="U113" s="85">
        <v>38215</v>
      </c>
      <c r="V113" s="37" t="s">
        <v>3605</v>
      </c>
      <c r="W113" s="85">
        <v>38033</v>
      </c>
      <c r="X113" s="37"/>
      <c r="Y113" s="85"/>
      <c r="Z113" s="37"/>
      <c r="AA113" s="37"/>
      <c r="AB113" s="85"/>
      <c r="AC113" s="37"/>
      <c r="AD113" s="91">
        <v>203</v>
      </c>
      <c r="AE113" s="87" t="str">
        <f>(TRUNC(AD113/12))&amp;"년 "&amp;(ROUNDDOWN(MOD(AD113,12),0))&amp;"개월"</f>
        <v>16년 11개월</v>
      </c>
      <c r="AF113" s="39">
        <f ca="1">($AL$1-K113)/30</f>
        <v>45.06666666666667</v>
      </c>
      <c r="AG113" s="91" t="str">
        <f ca="1">(TRUNC(AF113/12))&amp;"년 "&amp;(ROUNDDOWN(MOD(AF113,12),0))&amp;"개월"</f>
        <v>3년 9개월</v>
      </c>
      <c r="AH113" s="39">
        <f ca="1">+AD113+AF113</f>
        <v>248.06666666666666</v>
      </c>
      <c r="AI113" s="39" t="str">
        <f ca="1">(TRUNC(AH113/12))&amp;"년 "&amp;(ROUNDDOWN(MOD(AH113,12),0))&amp;"개월"</f>
        <v>20년 8개월</v>
      </c>
      <c r="AJ113" s="88" t="s">
        <v>3792</v>
      </c>
      <c r="AK113" s="81" t="s">
        <v>3793</v>
      </c>
      <c r="AL113" s="92" t="s">
        <v>3794</v>
      </c>
      <c r="AM113" s="90"/>
      <c r="AN113" s="86" t="s">
        <v>3795</v>
      </c>
      <c r="AO113" s="54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</row>
    <row r="114" spans="1:52" ht="15.75" customHeight="1">
      <c r="A114" s="33" t="s">
        <v>155</v>
      </c>
      <c r="B114" s="81" t="s">
        <v>3350</v>
      </c>
      <c r="C114" s="81" t="s">
        <v>924</v>
      </c>
      <c r="D114" s="108" t="s">
        <v>3351</v>
      </c>
      <c r="E114" s="108"/>
      <c r="F114" s="82" t="s">
        <v>44</v>
      </c>
      <c r="G114" s="82"/>
      <c r="H114" s="83" t="s">
        <v>2874</v>
      </c>
      <c r="I114" s="82" t="s">
        <v>1232</v>
      </c>
      <c r="J114" s="84" t="s">
        <v>3352</v>
      </c>
      <c r="K114" s="85">
        <v>42814</v>
      </c>
      <c r="L114" s="36">
        <v>44228</v>
      </c>
      <c r="M114" s="85"/>
      <c r="N114" s="86" t="s">
        <v>146</v>
      </c>
      <c r="O114" s="86" t="s">
        <v>3353</v>
      </c>
      <c r="P114" s="87" t="s">
        <v>3354</v>
      </c>
      <c r="Q114" s="87" t="s">
        <v>870</v>
      </c>
      <c r="R114" s="86" t="s">
        <v>265</v>
      </c>
      <c r="S114" s="85">
        <v>40602</v>
      </c>
      <c r="T114" s="37"/>
      <c r="U114" s="85"/>
      <c r="V114" s="37"/>
      <c r="W114" s="85"/>
      <c r="X114" s="37"/>
      <c r="Y114" s="85"/>
      <c r="Z114" s="37"/>
      <c r="AA114" s="37"/>
      <c r="AB114" s="85"/>
      <c r="AC114" s="37"/>
      <c r="AD114" s="91"/>
      <c r="AE114" s="87" t="str">
        <f>(TRUNC(AD114/12))&amp;"년 "&amp;(ROUNDDOWN(MOD(AD114,12),0))&amp;"개월"</f>
        <v>0년 0개월</v>
      </c>
      <c r="AF114" s="39">
        <f ca="1">(재직자!$AL$1-K114)/30</f>
        <v>110</v>
      </c>
      <c r="AG114" s="91" t="str">
        <f ca="1">(TRUNC(AF114/12))&amp;"년 "&amp;(ROUNDDOWN(MOD(AF114,12),0))&amp;"개월"</f>
        <v>9년 2개월</v>
      </c>
      <c r="AH114" s="39">
        <f ca="1">+AD114+AF114</f>
        <v>110</v>
      </c>
      <c r="AI114" s="39" t="str">
        <f ca="1">(TRUNC(AH114/12))&amp;"년 "&amp;(ROUNDDOWN(MOD(AH114,12),0))&amp;"개월"</f>
        <v>9년 2개월</v>
      </c>
      <c r="AJ114" s="88" t="s">
        <v>3355</v>
      </c>
      <c r="AK114" s="81" t="s">
        <v>3356</v>
      </c>
      <c r="AL114" s="62" t="s">
        <v>3357</v>
      </c>
      <c r="AM114" s="37"/>
      <c r="AN114" s="86" t="s">
        <v>3358</v>
      </c>
      <c r="AO114" s="54" t="s">
        <v>3359</v>
      </c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</row>
    <row r="115" spans="1:52" ht="15.75" customHeight="1">
      <c r="A115" s="33" t="s">
        <v>2947</v>
      </c>
      <c r="B115" s="81" t="s">
        <v>3406</v>
      </c>
      <c r="C115" s="115" t="s">
        <v>924</v>
      </c>
      <c r="D115" s="108" t="s">
        <v>3407</v>
      </c>
      <c r="E115" s="108"/>
      <c r="F115" s="82" t="s">
        <v>34</v>
      </c>
      <c r="G115" s="82" t="s">
        <v>3408</v>
      </c>
      <c r="H115" s="83" t="s">
        <v>2874</v>
      </c>
      <c r="I115" s="82"/>
      <c r="J115" s="84" t="s">
        <v>3409</v>
      </c>
      <c r="K115" s="85">
        <v>43549</v>
      </c>
      <c r="L115" s="85"/>
      <c r="M115" s="85"/>
      <c r="N115" s="86" t="s">
        <v>153</v>
      </c>
      <c r="O115" s="86" t="s">
        <v>3054</v>
      </c>
      <c r="P115" s="87" t="s">
        <v>710</v>
      </c>
      <c r="Q115" s="87" t="s">
        <v>711</v>
      </c>
      <c r="R115" s="86" t="s">
        <v>209</v>
      </c>
      <c r="S115" s="85">
        <v>40229</v>
      </c>
      <c r="T115" s="86" t="s">
        <v>275</v>
      </c>
      <c r="U115" s="85">
        <v>40042</v>
      </c>
      <c r="V115" s="86" t="s">
        <v>2681</v>
      </c>
      <c r="W115" s="85">
        <v>39724</v>
      </c>
      <c r="X115" s="86" t="s">
        <v>3410</v>
      </c>
      <c r="Y115" s="85"/>
      <c r="Z115" s="86"/>
      <c r="AA115" s="86"/>
      <c r="AB115" s="85"/>
      <c r="AC115" s="86"/>
      <c r="AD115" s="91">
        <v>124</v>
      </c>
      <c r="AE115" s="87" t="str">
        <f>(TRUNC(AD115/12))&amp;"년 "&amp;(ROUNDDOWN(MOD(AD115,12),0))&amp;"개월"</f>
        <v>10년 4개월</v>
      </c>
      <c r="AF115" s="91">
        <f ca="1">(재직자!$AL$1-K115)/30</f>
        <v>85.5</v>
      </c>
      <c r="AG115" s="91" t="str">
        <f ca="1">(TRUNC(AF115/12))&amp;"년 "&amp;(ROUNDDOWN(MOD(AF115,12),0))&amp;"개월"</f>
        <v>7년 1개월</v>
      </c>
      <c r="AH115" s="91">
        <f ca="1">+AD115+AF115</f>
        <v>209.5</v>
      </c>
      <c r="AI115" s="91" t="str">
        <f ca="1">(TRUNC(AH115/12))&amp;"년 "&amp;(ROUNDDOWN(MOD(AH115,12),0))&amp;"개월"</f>
        <v>17년 5개월</v>
      </c>
      <c r="AJ115" s="88" t="s">
        <v>3411</v>
      </c>
      <c r="AK115" s="81" t="s">
        <v>3412</v>
      </c>
      <c r="AL115" s="62" t="s">
        <v>3413</v>
      </c>
      <c r="AM115" s="90"/>
      <c r="AN115" s="86" t="s">
        <v>3414</v>
      </c>
      <c r="AO115" s="54" t="s">
        <v>3415</v>
      </c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</row>
    <row r="116" spans="1:52" ht="15.75" customHeight="1">
      <c r="A116" s="33" t="s">
        <v>798</v>
      </c>
      <c r="B116" s="81" t="s">
        <v>3430</v>
      </c>
      <c r="C116" s="81" t="s">
        <v>2667</v>
      </c>
      <c r="D116" s="108" t="s">
        <v>3431</v>
      </c>
      <c r="E116" s="108"/>
      <c r="F116" s="82" t="s">
        <v>139</v>
      </c>
      <c r="G116" s="82"/>
      <c r="H116" s="83" t="s">
        <v>2874</v>
      </c>
      <c r="I116" s="82"/>
      <c r="J116" s="84" t="s">
        <v>3432</v>
      </c>
      <c r="K116" s="85">
        <v>43773</v>
      </c>
      <c r="L116" s="36"/>
      <c r="M116" s="85"/>
      <c r="N116" s="86" t="s">
        <v>153</v>
      </c>
      <c r="O116" s="86" t="s">
        <v>1123</v>
      </c>
      <c r="P116" s="87" t="s">
        <v>413</v>
      </c>
      <c r="Q116" s="87" t="s">
        <v>1433</v>
      </c>
      <c r="R116" s="86" t="s">
        <v>209</v>
      </c>
      <c r="S116" s="85">
        <v>37315</v>
      </c>
      <c r="T116" s="37" t="s">
        <v>275</v>
      </c>
      <c r="U116" s="85">
        <v>37046</v>
      </c>
      <c r="V116" s="37" t="s">
        <v>526</v>
      </c>
      <c r="W116" s="85">
        <v>36728</v>
      </c>
      <c r="X116" s="37" t="s">
        <v>3433</v>
      </c>
      <c r="Y116" s="85">
        <v>43483</v>
      </c>
      <c r="Z116" s="37"/>
      <c r="AA116" s="37"/>
      <c r="AB116" s="85"/>
      <c r="AC116" s="37"/>
      <c r="AD116" s="91">
        <v>213</v>
      </c>
      <c r="AE116" s="87" t="str">
        <f>(TRUNC(AD116/12))&amp;"년 "&amp;(ROUNDDOWN(MOD(AD116,12),0))&amp;"개월"</f>
        <v>17년 9개월</v>
      </c>
      <c r="AF116" s="39">
        <f ca="1">(재직자!$AL$1-K116)/30</f>
        <v>78.033333333333331</v>
      </c>
      <c r="AG116" s="91" t="str">
        <f ca="1">(TRUNC(AF116/12))&amp;"년 "&amp;(ROUNDDOWN(MOD(AF116,12),0))&amp;"개월"</f>
        <v>6년 6개월</v>
      </c>
      <c r="AH116" s="39">
        <f ca="1">+AD116+AF116</f>
        <v>291.0333333333333</v>
      </c>
      <c r="AI116" s="39" t="str">
        <f ca="1">(TRUNC(AH116/12))&amp;"년 "&amp;(ROUNDDOWN(MOD(AH116,12),0))&amp;"개월"</f>
        <v>24년 3개월</v>
      </c>
      <c r="AJ116" s="88" t="s">
        <v>3434</v>
      </c>
      <c r="AK116" s="81" t="s">
        <v>3435</v>
      </c>
      <c r="AL116" s="62" t="s">
        <v>3436</v>
      </c>
      <c r="AM116" s="90"/>
      <c r="AN116" s="86" t="s">
        <v>3437</v>
      </c>
      <c r="AO116" s="54" t="s">
        <v>2781</v>
      </c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</row>
    <row r="117" spans="1:52" ht="15.75" customHeight="1">
      <c r="A117" s="33" t="s">
        <v>788</v>
      </c>
      <c r="B117" s="86">
        <v>200803</v>
      </c>
      <c r="C117" s="81" t="s">
        <v>924</v>
      </c>
      <c r="D117" s="104" t="s">
        <v>3492</v>
      </c>
      <c r="E117" s="104"/>
      <c r="F117" s="86" t="s">
        <v>51</v>
      </c>
      <c r="G117" s="87"/>
      <c r="H117" s="83" t="s">
        <v>2874</v>
      </c>
      <c r="I117" s="82"/>
      <c r="J117" s="86" t="s">
        <v>3493</v>
      </c>
      <c r="K117" s="85">
        <v>44067</v>
      </c>
      <c r="L117" s="36"/>
      <c r="M117" s="85"/>
      <c r="N117" s="86" t="s">
        <v>146</v>
      </c>
      <c r="O117" s="86" t="s">
        <v>3494</v>
      </c>
      <c r="P117" s="86" t="s">
        <v>3495</v>
      </c>
      <c r="Q117" s="86" t="s">
        <v>870</v>
      </c>
      <c r="R117" s="86" t="s">
        <v>265</v>
      </c>
      <c r="S117" s="85"/>
      <c r="T117" s="86"/>
      <c r="U117" s="85"/>
      <c r="V117" s="37"/>
      <c r="W117" s="85"/>
      <c r="X117" s="37"/>
      <c r="Y117" s="86"/>
      <c r="Z117" s="37"/>
      <c r="AA117" s="37"/>
      <c r="AB117" s="86"/>
      <c r="AC117" s="86"/>
      <c r="AD117" s="91">
        <v>0</v>
      </c>
      <c r="AE117" s="86" t="str">
        <f>(TRUNC(AD117/12))&amp;"년 "&amp;(ROUNDDOWN(MOD(AD117,12),0))&amp;"개월"</f>
        <v>0년 0개월</v>
      </c>
      <c r="AF117" s="39">
        <f ca="1">($AL$1-K117)/30</f>
        <v>68.233333333333334</v>
      </c>
      <c r="AG117" s="86" t="str">
        <f ca="1">(TRUNC(AF117/12))&amp;"년 "&amp;(ROUNDDOWN(MOD(AF117,12),0))&amp;"개월"</f>
        <v>5년 8개월</v>
      </c>
      <c r="AH117" s="39">
        <f ca="1">+AD117+AF117</f>
        <v>68.233333333333334</v>
      </c>
      <c r="AI117" s="39" t="str">
        <f ca="1">(TRUNC(AH117/12))&amp;"년 "&amp;(ROUNDDOWN(MOD(AH117,12),0))&amp;"개월"</f>
        <v>5년 8개월</v>
      </c>
      <c r="AJ117" s="96" t="s">
        <v>3496</v>
      </c>
      <c r="AK117" s="86" t="s">
        <v>3497</v>
      </c>
      <c r="AL117" s="50" t="s">
        <v>3498</v>
      </c>
      <c r="AM117" s="86"/>
      <c r="AN117" s="86" t="s">
        <v>3499</v>
      </c>
      <c r="AO117" s="54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</row>
    <row r="118" spans="1:52" ht="15.75" customHeight="1">
      <c r="A118" s="33" t="s">
        <v>331</v>
      </c>
      <c r="B118" s="86">
        <v>210403</v>
      </c>
      <c r="C118" s="81" t="s">
        <v>193</v>
      </c>
      <c r="D118" s="98" t="s">
        <v>3560</v>
      </c>
      <c r="E118" s="104"/>
      <c r="F118" s="86" t="s">
        <v>51</v>
      </c>
      <c r="G118" s="87"/>
      <c r="H118" s="83" t="s">
        <v>2874</v>
      </c>
      <c r="I118" s="82"/>
      <c r="J118" s="86" t="s">
        <v>3561</v>
      </c>
      <c r="K118" s="85">
        <v>44291</v>
      </c>
      <c r="L118" s="36"/>
      <c r="M118" s="85"/>
      <c r="N118" s="86" t="s">
        <v>448</v>
      </c>
      <c r="O118" s="86" t="s">
        <v>3562</v>
      </c>
      <c r="P118" s="86" t="s">
        <v>3563</v>
      </c>
      <c r="Q118" s="86" t="s">
        <v>711</v>
      </c>
      <c r="R118" s="86" t="s">
        <v>448</v>
      </c>
      <c r="S118" s="85"/>
      <c r="T118" s="37" t="s">
        <v>3410</v>
      </c>
      <c r="U118" s="85"/>
      <c r="V118" s="37"/>
      <c r="W118" s="85"/>
      <c r="X118" s="37"/>
      <c r="Y118" s="85"/>
      <c r="Z118" s="37"/>
      <c r="AA118" s="37"/>
      <c r="AB118" s="37"/>
      <c r="AC118" s="37"/>
      <c r="AD118" s="91"/>
      <c r="AE118" s="86" t="str">
        <f>(TRUNC(AD118/12))&amp;"년 "&amp;(ROUNDDOWN(MOD(AD118,12),0))&amp;"개월"</f>
        <v>0년 0개월</v>
      </c>
      <c r="AF118" s="39">
        <f ca="1">($AL$1-K118)/30</f>
        <v>60.766666666666666</v>
      </c>
      <c r="AG118" s="86" t="str">
        <f ca="1">(TRUNC(AF118/12))&amp;"년 "&amp;(ROUNDDOWN(MOD(AF118,12),0))&amp;"개월"</f>
        <v>5년 0개월</v>
      </c>
      <c r="AH118" s="39">
        <f ca="1">+AD118+AF118</f>
        <v>60.766666666666666</v>
      </c>
      <c r="AI118" s="39" t="str">
        <f ca="1">(TRUNC(AH118/12))&amp;"년 "&amp;(ROUNDDOWN(MOD(AH118,12),0))&amp;"개월"</f>
        <v>5년 0개월</v>
      </c>
      <c r="AJ118" s="96" t="s">
        <v>3564</v>
      </c>
      <c r="AK118" s="86" t="s">
        <v>3565</v>
      </c>
      <c r="AL118" s="50" t="s">
        <v>3566</v>
      </c>
      <c r="AM118" s="37"/>
      <c r="AN118" s="37" t="s">
        <v>3567</v>
      </c>
      <c r="AO118" s="54" t="s">
        <v>3568</v>
      </c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</row>
    <row r="119" spans="1:52" ht="15.75" customHeight="1">
      <c r="A119" s="33" t="s">
        <v>652</v>
      </c>
      <c r="B119" s="86">
        <v>210702</v>
      </c>
      <c r="C119" s="81" t="s">
        <v>193</v>
      </c>
      <c r="D119" s="98" t="s">
        <v>3603</v>
      </c>
      <c r="E119" s="104"/>
      <c r="F119" s="86" t="s">
        <v>34</v>
      </c>
      <c r="G119" s="87"/>
      <c r="H119" s="83" t="s">
        <v>2874</v>
      </c>
      <c r="I119" s="82"/>
      <c r="J119" s="86" t="s">
        <v>3604</v>
      </c>
      <c r="K119" s="85">
        <v>44396</v>
      </c>
      <c r="L119" s="36"/>
      <c r="M119" s="85"/>
      <c r="N119" s="86" t="s">
        <v>153</v>
      </c>
      <c r="O119" s="86" t="s">
        <v>2835</v>
      </c>
      <c r="P119" s="86" t="s">
        <v>413</v>
      </c>
      <c r="Q119" s="86" t="s">
        <v>1134</v>
      </c>
      <c r="R119" s="86" t="s">
        <v>209</v>
      </c>
      <c r="S119" s="85">
        <v>37678</v>
      </c>
      <c r="T119" s="37" t="s">
        <v>275</v>
      </c>
      <c r="U119" s="85">
        <v>38145</v>
      </c>
      <c r="V119" s="37" t="s">
        <v>3605</v>
      </c>
      <c r="W119" s="85">
        <v>38168</v>
      </c>
      <c r="X119" s="37" t="s">
        <v>3606</v>
      </c>
      <c r="Y119" s="85">
        <v>38254</v>
      </c>
      <c r="Z119" s="37"/>
      <c r="AA119" s="37"/>
      <c r="AB119" s="37"/>
      <c r="AC119" s="37"/>
      <c r="AD119" s="91">
        <v>187</v>
      </c>
      <c r="AE119" s="86" t="str">
        <f>(TRUNC(AD119/12))&amp;"년 "&amp;(ROUNDDOWN(MOD(AD119,12),0))&amp;"개월"</f>
        <v>15년 7개월</v>
      </c>
      <c r="AF119" s="39">
        <f ca="1">($AL$1-K119)/30</f>
        <v>57.266666666666666</v>
      </c>
      <c r="AG119" s="86" t="str">
        <f ca="1">(TRUNC(AF119/12))&amp;"년 "&amp;(ROUNDDOWN(MOD(AF119,12),0))&amp;"개월"</f>
        <v>4년 9개월</v>
      </c>
      <c r="AH119" s="39">
        <f ca="1">+AD119+AF119</f>
        <v>244.26666666666665</v>
      </c>
      <c r="AI119" s="39" t="str">
        <f ca="1">(TRUNC(AH119/12))&amp;"년 "&amp;(ROUNDDOWN(MOD(AH119,12),0))&amp;"개월"</f>
        <v>20년 4개월</v>
      </c>
      <c r="AJ119" s="96" t="s">
        <v>3607</v>
      </c>
      <c r="AK119" s="86" t="s">
        <v>3608</v>
      </c>
      <c r="AL119" s="152" t="s">
        <v>3609</v>
      </c>
      <c r="AM119" s="37"/>
      <c r="AN119" s="86" t="s">
        <v>3610</v>
      </c>
      <c r="AO119" s="54" t="s">
        <v>3611</v>
      </c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</row>
    <row r="120" spans="1:52" ht="15.75" customHeight="1">
      <c r="A120" s="33" t="s">
        <v>350</v>
      </c>
      <c r="B120" s="86">
        <v>210703</v>
      </c>
      <c r="C120" s="81" t="s">
        <v>3612</v>
      </c>
      <c r="D120" s="98" t="s">
        <v>3613</v>
      </c>
      <c r="E120" s="104"/>
      <c r="F120" s="86" t="s">
        <v>88</v>
      </c>
      <c r="G120" s="87"/>
      <c r="H120" s="83" t="s">
        <v>2874</v>
      </c>
      <c r="I120" s="82"/>
      <c r="J120" s="86" t="s">
        <v>3614</v>
      </c>
      <c r="K120" s="85">
        <v>44396</v>
      </c>
      <c r="L120" s="36"/>
      <c r="M120" s="85"/>
      <c r="N120" s="86" t="s">
        <v>153</v>
      </c>
      <c r="O120" s="86" t="s">
        <v>355</v>
      </c>
      <c r="P120" s="86" t="s">
        <v>1133</v>
      </c>
      <c r="Q120" s="86" t="s">
        <v>711</v>
      </c>
      <c r="R120" s="86" t="s">
        <v>209</v>
      </c>
      <c r="S120" s="85">
        <v>41509</v>
      </c>
      <c r="T120" s="37" t="s">
        <v>275</v>
      </c>
      <c r="U120" s="85">
        <v>41241</v>
      </c>
      <c r="V120" s="86"/>
      <c r="W120" s="85"/>
      <c r="X120" s="86"/>
      <c r="Y120" s="85"/>
      <c r="Z120" s="86"/>
      <c r="AA120" s="86"/>
      <c r="AB120" s="37"/>
      <c r="AC120" s="86"/>
      <c r="AD120" s="91">
        <v>131</v>
      </c>
      <c r="AE120" s="86" t="str">
        <f>(TRUNC(AD120/12))&amp;"년 "&amp;(ROUNDDOWN(MOD(AD120,12),0))&amp;"개월"</f>
        <v>10년 11개월</v>
      </c>
      <c r="AF120" s="39">
        <f ca="1">($AL$1-K120)/30</f>
        <v>57.266666666666666</v>
      </c>
      <c r="AG120" s="86" t="str">
        <f ca="1">(TRUNC(AF120/12))&amp;"년 "&amp;(ROUNDDOWN(MOD(AF120,12),0))&amp;"개월"</f>
        <v>4년 9개월</v>
      </c>
      <c r="AH120" s="39">
        <f ca="1">+AD120+AF120</f>
        <v>188.26666666666665</v>
      </c>
      <c r="AI120" s="39" t="str">
        <f ca="1">(TRUNC(AH120/12))&amp;"년 "&amp;(ROUNDDOWN(MOD(AH120,12),0))&amp;"개월"</f>
        <v>15년 8개월</v>
      </c>
      <c r="AJ120" s="96" t="s">
        <v>3615</v>
      </c>
      <c r="AK120" s="86" t="s">
        <v>3616</v>
      </c>
      <c r="AL120" s="50" t="s">
        <v>3617</v>
      </c>
      <c r="AM120" s="37"/>
      <c r="AN120" s="86" t="s">
        <v>3618</v>
      </c>
      <c r="AO120" s="54" t="s">
        <v>3619</v>
      </c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</row>
    <row r="121" spans="1:52" ht="15.75" customHeight="1">
      <c r="A121" s="33" t="s">
        <v>301</v>
      </c>
      <c r="B121" s="86">
        <v>220104</v>
      </c>
      <c r="C121" s="81" t="s">
        <v>193</v>
      </c>
      <c r="D121" s="98" t="s">
        <v>3691</v>
      </c>
      <c r="E121" s="104"/>
      <c r="F121" s="86" t="s">
        <v>51</v>
      </c>
      <c r="G121" s="87"/>
      <c r="H121" s="83" t="s">
        <v>2874</v>
      </c>
      <c r="I121" s="82"/>
      <c r="J121" s="86" t="s">
        <v>3692</v>
      </c>
      <c r="K121" s="85">
        <v>44571</v>
      </c>
      <c r="L121" s="36"/>
      <c r="M121" s="85"/>
      <c r="N121" s="86" t="s">
        <v>146</v>
      </c>
      <c r="O121" s="86" t="s">
        <v>3693</v>
      </c>
      <c r="P121" s="86" t="s">
        <v>1518</v>
      </c>
      <c r="Q121" s="86" t="s">
        <v>870</v>
      </c>
      <c r="R121" s="86" t="s">
        <v>265</v>
      </c>
      <c r="S121" s="85">
        <v>42416</v>
      </c>
      <c r="T121" s="37"/>
      <c r="U121" s="85"/>
      <c r="V121" s="37"/>
      <c r="W121" s="85"/>
      <c r="X121" s="37"/>
      <c r="Y121" s="85"/>
      <c r="Z121" s="37"/>
      <c r="AA121" s="37"/>
      <c r="AB121" s="37"/>
      <c r="AC121" s="37"/>
      <c r="AD121" s="91">
        <v>12</v>
      </c>
      <c r="AE121" s="86" t="str">
        <f>(TRUNC(AD121/12))&amp;"년 "&amp;(ROUNDDOWN(MOD(AD121,12),0))&amp;"개월"</f>
        <v>1년 0개월</v>
      </c>
      <c r="AF121" s="39">
        <f ca="1">($AL$1-K121)/30</f>
        <v>51.43333333333333</v>
      </c>
      <c r="AG121" s="86" t="str">
        <f ca="1">(TRUNC(AF121/12))&amp;"년 "&amp;(ROUNDDOWN(MOD(AF121,12),0))&amp;"개월"</f>
        <v>4년 3개월</v>
      </c>
      <c r="AH121" s="39">
        <f ca="1">+AD121+AF121</f>
        <v>63.43333333333333</v>
      </c>
      <c r="AI121" s="39" t="str">
        <f ca="1">(TRUNC(AH121/12))&amp;"년 "&amp;(ROUNDDOWN(MOD(AH121,12),0))&amp;"개월"</f>
        <v>5년 3개월</v>
      </c>
      <c r="AJ121" s="96" t="s">
        <v>3694</v>
      </c>
      <c r="AK121" s="86" t="s">
        <v>3695</v>
      </c>
      <c r="AL121" s="94" t="s">
        <v>3696</v>
      </c>
      <c r="AM121" s="37"/>
      <c r="AN121" s="86" t="s">
        <v>3697</v>
      </c>
      <c r="AO121" s="54" t="s">
        <v>1148</v>
      </c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</row>
    <row r="122" spans="1:52" ht="15.75" customHeight="1">
      <c r="A122" s="33" t="s">
        <v>738</v>
      </c>
      <c r="B122" s="86">
        <v>220304</v>
      </c>
      <c r="C122" s="81" t="s">
        <v>193</v>
      </c>
      <c r="D122" s="98" t="s">
        <v>3729</v>
      </c>
      <c r="E122" s="104"/>
      <c r="F122" s="86" t="s">
        <v>51</v>
      </c>
      <c r="G122" s="87"/>
      <c r="H122" s="83" t="s">
        <v>2874</v>
      </c>
      <c r="I122" s="82"/>
      <c r="J122" s="86" t="s">
        <v>3730</v>
      </c>
      <c r="K122" s="85">
        <v>44648</v>
      </c>
      <c r="L122" s="36"/>
      <c r="M122" s="85"/>
      <c r="N122" s="86" t="s">
        <v>153</v>
      </c>
      <c r="O122" s="86" t="s">
        <v>3731</v>
      </c>
      <c r="P122" s="86" t="s">
        <v>3732</v>
      </c>
      <c r="Q122" s="86" t="s">
        <v>711</v>
      </c>
      <c r="R122" s="86" t="s">
        <v>209</v>
      </c>
      <c r="S122" s="85">
        <v>44246</v>
      </c>
      <c r="T122" s="86"/>
      <c r="U122" s="85"/>
      <c r="V122" s="86"/>
      <c r="W122" s="85"/>
      <c r="X122" s="37"/>
      <c r="Y122" s="85"/>
      <c r="Z122" s="37"/>
      <c r="AA122" s="37"/>
      <c r="AB122" s="37"/>
      <c r="AC122" s="86"/>
      <c r="AD122" s="91">
        <v>0</v>
      </c>
      <c r="AE122" s="86" t="str">
        <f>(TRUNC(AD122/12))&amp;"년 "&amp;(ROUNDDOWN(MOD(AD122,12),0))&amp;"개월"</f>
        <v>0년 0개월</v>
      </c>
      <c r="AF122" s="39">
        <f ca="1">($AL$1-K122)/30</f>
        <v>48.866666666666667</v>
      </c>
      <c r="AG122" s="91" t="str">
        <f ca="1">(TRUNC(AF122/12))&amp;"년 "&amp;(ROUNDDOWN(MOD(AF122,12),0))&amp;"개월"</f>
        <v>4년 0개월</v>
      </c>
      <c r="AH122" s="39">
        <f ca="1">+AD122+AF122</f>
        <v>48.866666666666667</v>
      </c>
      <c r="AI122" s="39" t="str">
        <f ca="1">(TRUNC(AH122/12))&amp;"년 "&amp;(ROUNDDOWN(MOD(AH122,12),0))&amp;"개월"</f>
        <v>4년 0개월</v>
      </c>
      <c r="AJ122" s="96" t="s">
        <v>3733</v>
      </c>
      <c r="AK122" s="86" t="s">
        <v>3734</v>
      </c>
      <c r="AL122" s="50" t="s">
        <v>3735</v>
      </c>
      <c r="AM122" s="37"/>
      <c r="AN122" s="86" t="s">
        <v>3736</v>
      </c>
      <c r="AO122" s="54" t="s">
        <v>3737</v>
      </c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</row>
    <row r="123" spans="1:52" ht="15.75" customHeight="1">
      <c r="A123" s="33" t="s">
        <v>2060</v>
      </c>
      <c r="B123" s="86">
        <v>220305</v>
      </c>
      <c r="C123" s="81" t="s">
        <v>193</v>
      </c>
      <c r="D123" s="98" t="s">
        <v>3738</v>
      </c>
      <c r="E123" s="104"/>
      <c r="F123" s="86" t="s">
        <v>51</v>
      </c>
      <c r="G123" s="87"/>
      <c r="H123" s="83" t="s">
        <v>2874</v>
      </c>
      <c r="I123" s="82"/>
      <c r="J123" s="86" t="s">
        <v>3739</v>
      </c>
      <c r="K123" s="85">
        <v>44648</v>
      </c>
      <c r="L123" s="36"/>
      <c r="M123" s="85"/>
      <c r="N123" s="146" t="s">
        <v>153</v>
      </c>
      <c r="O123" s="86" t="s">
        <v>506</v>
      </c>
      <c r="P123" s="86" t="s">
        <v>3740</v>
      </c>
      <c r="Q123" s="86" t="s">
        <v>964</v>
      </c>
      <c r="R123" s="86" t="s">
        <v>209</v>
      </c>
      <c r="S123" s="85">
        <v>44062</v>
      </c>
      <c r="T123" s="37"/>
      <c r="U123" s="85"/>
      <c r="V123" s="37"/>
      <c r="W123" s="85"/>
      <c r="X123" s="37"/>
      <c r="Y123" s="85"/>
      <c r="Z123" s="37"/>
      <c r="AA123" s="37"/>
      <c r="AB123" s="37"/>
      <c r="AC123" s="37"/>
      <c r="AD123" s="91">
        <v>0</v>
      </c>
      <c r="AE123" s="86" t="str">
        <f>(TRUNC(AD123/12))&amp;"년 "&amp;(ROUNDDOWN(MOD(AD123,12),0))&amp;"개월"</f>
        <v>0년 0개월</v>
      </c>
      <c r="AF123" s="39">
        <f ca="1">($AL$1-K123)/30</f>
        <v>48.866666666666667</v>
      </c>
      <c r="AG123" s="39" t="str">
        <f ca="1">(TRUNC(AF123/12))&amp;"년 "&amp;(ROUNDDOWN(MOD(AF123,12),0))&amp;"개월"</f>
        <v>4년 0개월</v>
      </c>
      <c r="AH123" s="39">
        <f ca="1">+AD123+AF123</f>
        <v>48.866666666666667</v>
      </c>
      <c r="AI123" s="39" t="str">
        <f ca="1">(TRUNC(AH123/12))&amp;"년 "&amp;(ROUNDDOWN(MOD(AH123,12),0))&amp;"개월"</f>
        <v>4년 0개월</v>
      </c>
      <c r="AJ123" s="96" t="s">
        <v>3741</v>
      </c>
      <c r="AK123" s="86" t="s">
        <v>3742</v>
      </c>
      <c r="AL123" s="94" t="s">
        <v>3743</v>
      </c>
      <c r="AM123" s="37"/>
      <c r="AN123" s="86" t="s">
        <v>3744</v>
      </c>
      <c r="AO123" s="54" t="s">
        <v>2310</v>
      </c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</row>
    <row r="124" spans="1:52" ht="15.75" customHeight="1">
      <c r="A124" s="33" t="s">
        <v>998</v>
      </c>
      <c r="B124" s="86">
        <v>220401</v>
      </c>
      <c r="C124" s="81" t="s">
        <v>193</v>
      </c>
      <c r="D124" s="104" t="s">
        <v>3745</v>
      </c>
      <c r="E124" s="104"/>
      <c r="F124" s="86" t="s">
        <v>44</v>
      </c>
      <c r="G124" s="87"/>
      <c r="H124" s="83" t="s">
        <v>2874</v>
      </c>
      <c r="I124" s="82"/>
      <c r="J124" s="86" t="s">
        <v>3746</v>
      </c>
      <c r="K124" s="85">
        <v>44679</v>
      </c>
      <c r="L124" s="36"/>
      <c r="M124" s="85"/>
      <c r="N124" s="86" t="s">
        <v>2680</v>
      </c>
      <c r="O124" s="86" t="s">
        <v>2867</v>
      </c>
      <c r="P124" s="86" t="s">
        <v>3747</v>
      </c>
      <c r="Q124" s="86" t="s">
        <v>711</v>
      </c>
      <c r="R124" s="86" t="s">
        <v>265</v>
      </c>
      <c r="S124" s="85">
        <v>44958</v>
      </c>
      <c r="T124" s="37"/>
      <c r="U124" s="85"/>
      <c r="V124" s="37" t="s">
        <v>3748</v>
      </c>
      <c r="W124" s="85">
        <v>41091</v>
      </c>
      <c r="X124" s="37"/>
      <c r="Y124" s="85"/>
      <c r="Z124" s="37"/>
      <c r="AA124" s="37"/>
      <c r="AB124" s="86"/>
      <c r="AC124" s="37"/>
      <c r="AD124" s="91">
        <v>69</v>
      </c>
      <c r="AE124" s="86" t="str">
        <f>(TRUNC(AD124/12))&amp;"년 "&amp;(ROUNDDOWN(MOD(AD124,12),0))&amp;"개월"</f>
        <v>5년 9개월</v>
      </c>
      <c r="AF124" s="39">
        <f ca="1">($AL$1-K124)/30</f>
        <v>47.833333333333336</v>
      </c>
      <c r="AG124" s="39" t="str">
        <f ca="1">(TRUNC(AF124/12))&amp;"년 "&amp;(ROUNDDOWN(MOD(AF124,12),0))&amp;"개월"</f>
        <v>3년 11개월</v>
      </c>
      <c r="AH124" s="39">
        <f ca="1">+AD124+AF124</f>
        <v>116.83333333333334</v>
      </c>
      <c r="AI124" s="39" t="str">
        <f ca="1">(TRUNC(AH124/12))&amp;"년 "&amp;(ROUNDDOWN(MOD(AH124,12),0))&amp;"개월"</f>
        <v>9년 8개월</v>
      </c>
      <c r="AJ124" s="96" t="s">
        <v>3749</v>
      </c>
      <c r="AK124" s="86" t="s">
        <v>3750</v>
      </c>
      <c r="AL124" s="94" t="s">
        <v>3751</v>
      </c>
      <c r="AM124" s="86"/>
      <c r="AN124" s="86" t="s">
        <v>3752</v>
      </c>
      <c r="AO124" s="54" t="s">
        <v>3642</v>
      </c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</row>
    <row r="125" spans="1:52" ht="15.75" customHeight="1">
      <c r="A125" s="33" t="s">
        <v>2713</v>
      </c>
      <c r="B125" s="81" t="s">
        <v>3770</v>
      </c>
      <c r="C125" s="81" t="s">
        <v>193</v>
      </c>
      <c r="D125" s="108" t="s">
        <v>3771</v>
      </c>
      <c r="E125" s="108"/>
      <c r="F125" s="82" t="s">
        <v>44</v>
      </c>
      <c r="G125" s="82"/>
      <c r="H125" s="83" t="s">
        <v>2874</v>
      </c>
      <c r="I125" s="82" t="s">
        <v>3772</v>
      </c>
      <c r="J125" s="84" t="s">
        <v>3773</v>
      </c>
      <c r="K125" s="85">
        <v>44714</v>
      </c>
      <c r="L125" s="36"/>
      <c r="M125" s="85"/>
      <c r="N125" s="86" t="s">
        <v>448</v>
      </c>
      <c r="O125" s="86" t="s">
        <v>3774</v>
      </c>
      <c r="P125" s="87" t="s">
        <v>2251</v>
      </c>
      <c r="Q125" s="87" t="s">
        <v>711</v>
      </c>
      <c r="R125" s="86" t="s">
        <v>448</v>
      </c>
      <c r="S125" s="85">
        <v>40223</v>
      </c>
      <c r="T125" s="86" t="s">
        <v>3775</v>
      </c>
      <c r="U125" s="85">
        <v>41804</v>
      </c>
      <c r="V125" s="37"/>
      <c r="W125" s="85"/>
      <c r="X125" s="37"/>
      <c r="Y125" s="85"/>
      <c r="Z125" s="37"/>
      <c r="AA125" s="37"/>
      <c r="AB125" s="85"/>
      <c r="AC125" s="86"/>
      <c r="AD125" s="91">
        <f>10.5+7+5.9+24.2</f>
        <v>47.599999999999994</v>
      </c>
      <c r="AE125" s="87" t="str">
        <f>(TRUNC(AD125/12))&amp;"년 "&amp;(ROUNDDOWN(MOD(AD125,12),0))&amp;"개월"</f>
        <v>3년 11개월</v>
      </c>
      <c r="AF125" s="39">
        <f ca="1">($AL$1-K125)/30</f>
        <v>46.666666666666664</v>
      </c>
      <c r="AG125" s="39" t="str">
        <f ca="1">(TRUNC(AF125/12))&amp;"년 "&amp;(ROUNDDOWN(MOD(AF125,12),0))&amp;"개월"</f>
        <v>3년 10개월</v>
      </c>
      <c r="AH125" s="39">
        <f ca="1">+AD125+AF125</f>
        <v>94.266666666666652</v>
      </c>
      <c r="AI125" s="39" t="str">
        <f ca="1">(TRUNC(AH125/12))&amp;"년 "&amp;(ROUNDDOWN(MOD(AH125,12),0))&amp;"개월"</f>
        <v>7년 10개월</v>
      </c>
      <c r="AJ125" s="88" t="s">
        <v>3776</v>
      </c>
      <c r="AK125" s="81" t="s">
        <v>3777</v>
      </c>
      <c r="AL125" s="92" t="s">
        <v>3778</v>
      </c>
      <c r="AM125" s="90"/>
      <c r="AN125" s="86" t="s">
        <v>3779</v>
      </c>
      <c r="AO125" s="54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</row>
    <row r="126" spans="1:52" ht="15.75" customHeight="1">
      <c r="A126" s="33" t="s">
        <v>2266</v>
      </c>
      <c r="B126" s="86">
        <v>230703</v>
      </c>
      <c r="C126" s="86" t="s">
        <v>2513</v>
      </c>
      <c r="D126" s="104" t="s">
        <v>3946</v>
      </c>
      <c r="E126" s="104">
        <v>1</v>
      </c>
      <c r="F126" s="86" t="s">
        <v>51</v>
      </c>
      <c r="G126" s="86"/>
      <c r="H126" s="83" t="s">
        <v>3947</v>
      </c>
      <c r="I126" s="86" t="s">
        <v>3948</v>
      </c>
      <c r="J126" s="86" t="s">
        <v>3949</v>
      </c>
      <c r="K126" s="85">
        <v>45124</v>
      </c>
      <c r="L126" s="36"/>
      <c r="M126" s="86"/>
      <c r="N126" s="86" t="s">
        <v>153</v>
      </c>
      <c r="O126" s="86" t="s">
        <v>1596</v>
      </c>
      <c r="P126" s="86" t="s">
        <v>3950</v>
      </c>
      <c r="Q126" s="86" t="s">
        <v>711</v>
      </c>
      <c r="R126" s="86" t="s">
        <v>209</v>
      </c>
      <c r="S126" s="100">
        <v>44774</v>
      </c>
      <c r="T126" s="86" t="s">
        <v>3951</v>
      </c>
      <c r="U126" s="85">
        <v>45056</v>
      </c>
      <c r="V126" s="37"/>
      <c r="W126" s="86"/>
      <c r="X126" s="37"/>
      <c r="Y126" s="86"/>
      <c r="Z126" s="37"/>
      <c r="AA126" s="37"/>
      <c r="AB126" s="86"/>
      <c r="AC126" s="86"/>
      <c r="AD126" s="91">
        <v>0</v>
      </c>
      <c r="AE126" s="38" t="str">
        <f>(TRUNC(AD126/12))&amp;"년 "&amp;(ROUNDDOWN(MOD(AD126,12),0))&amp;"개월"</f>
        <v>0년 0개월</v>
      </c>
      <c r="AF126" s="39">
        <f ca="1">($AL$1-K126)/30</f>
        <v>33</v>
      </c>
      <c r="AG126" s="39" t="str">
        <f ca="1">(TRUNC(AF126/12))&amp;"년 "&amp;(ROUNDDOWN(MOD(AF126,12),0))&amp;"개월"</f>
        <v>2년 9개월</v>
      </c>
      <c r="AH126" s="39">
        <f ca="1">+AD126+AF126</f>
        <v>33</v>
      </c>
      <c r="AI126" s="39" t="str">
        <f ca="1">(TRUNC(AH126/12))&amp;"년 "&amp;(ROUNDDOWN(MOD(AH126,12),0))&amp;"개월"</f>
        <v>2년 9개월</v>
      </c>
      <c r="AJ126" s="96" t="s">
        <v>3952</v>
      </c>
      <c r="AK126" s="86" t="s">
        <v>3953</v>
      </c>
      <c r="AL126" s="96" t="s">
        <v>3954</v>
      </c>
      <c r="AM126" s="86"/>
      <c r="AN126" s="86" t="s">
        <v>3955</v>
      </c>
      <c r="AO126" s="86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</row>
    <row r="127" spans="1:52" ht="15.75" customHeight="1">
      <c r="A127" s="33" t="s">
        <v>2590</v>
      </c>
      <c r="B127" s="86">
        <v>240801</v>
      </c>
      <c r="C127" s="86" t="s">
        <v>193</v>
      </c>
      <c r="D127" s="98" t="s">
        <v>4057</v>
      </c>
      <c r="E127" s="104"/>
      <c r="F127" s="86" t="s">
        <v>51</v>
      </c>
      <c r="G127" s="37"/>
      <c r="H127" s="83" t="s">
        <v>3947</v>
      </c>
      <c r="I127" s="86" t="s">
        <v>4058</v>
      </c>
      <c r="J127" s="86" t="s">
        <v>4059</v>
      </c>
      <c r="K127" s="85">
        <v>45505</v>
      </c>
      <c r="L127" s="36"/>
      <c r="M127" s="37"/>
      <c r="N127" s="86" t="s">
        <v>153</v>
      </c>
      <c r="O127" s="86" t="s">
        <v>355</v>
      </c>
      <c r="P127" s="86" t="s">
        <v>1281</v>
      </c>
      <c r="Q127" s="86" t="s">
        <v>711</v>
      </c>
      <c r="R127" s="86" t="s">
        <v>209</v>
      </c>
      <c r="S127" s="85">
        <v>45525</v>
      </c>
      <c r="T127" s="37"/>
      <c r="U127" s="37"/>
      <c r="V127" s="37"/>
      <c r="W127" s="37"/>
      <c r="X127" s="37"/>
      <c r="Y127" s="37"/>
      <c r="Z127" s="37"/>
      <c r="AA127" s="37"/>
      <c r="AB127" s="37"/>
      <c r="AC127" s="86"/>
      <c r="AD127" s="91">
        <v>43</v>
      </c>
      <c r="AE127" s="38" t="str">
        <f>(TRUNC(AD127/12))&amp;"년 "&amp;(ROUNDDOWN(MOD(AD127,12),0))&amp;"개월"</f>
        <v>3년 7개월</v>
      </c>
      <c r="AF127" s="39">
        <f ca="1">(재직자!$AL$1-K127)/30</f>
        <v>20.3</v>
      </c>
      <c r="AG127" s="39" t="str">
        <f ca="1">(TRUNC(AF127/12))&amp;"년 "&amp;(ROUNDDOWN(MOD(AF127,12),0))&amp;"개월"</f>
        <v>1년 8개월</v>
      </c>
      <c r="AH127" s="39">
        <f ca="1">+AD127+AF127</f>
        <v>63.3</v>
      </c>
      <c r="AI127" s="39" t="str">
        <f ca="1">(TRUNC(AH127/12))&amp;"년 "&amp;(ROUNDDOWN(MOD(AH127,12),0))&amp;"개월"</f>
        <v>5년 3개월</v>
      </c>
      <c r="AJ127" s="96" t="s">
        <v>4060</v>
      </c>
      <c r="AK127" s="86" t="s">
        <v>4061</v>
      </c>
      <c r="AL127" s="44" t="s">
        <v>4062</v>
      </c>
      <c r="AM127" s="37"/>
      <c r="AN127" s="37" t="s">
        <v>4063</v>
      </c>
      <c r="AO127" s="37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</row>
    <row r="128" spans="1:52" ht="15.75" customHeight="1">
      <c r="A128" s="33" t="s">
        <v>137</v>
      </c>
      <c r="B128" s="81" t="s">
        <v>3322</v>
      </c>
      <c r="C128" s="81" t="s">
        <v>226</v>
      </c>
      <c r="D128" s="108" t="s">
        <v>3323</v>
      </c>
      <c r="E128" s="108"/>
      <c r="F128" s="82" t="s">
        <v>3324</v>
      </c>
      <c r="G128" s="82"/>
      <c r="H128" s="82"/>
      <c r="I128" s="37"/>
      <c r="J128" s="84" t="s">
        <v>3325</v>
      </c>
      <c r="K128" s="85">
        <v>42430</v>
      </c>
      <c r="L128" s="36"/>
      <c r="M128" s="85"/>
      <c r="N128" s="37" t="s">
        <v>196</v>
      </c>
      <c r="O128" s="37" t="s">
        <v>1132</v>
      </c>
      <c r="P128" s="87" t="s">
        <v>607</v>
      </c>
      <c r="Q128" s="87" t="s">
        <v>711</v>
      </c>
      <c r="R128" s="37" t="s">
        <v>198</v>
      </c>
      <c r="S128" s="85"/>
      <c r="T128" s="37"/>
      <c r="U128" s="85"/>
      <c r="V128" s="37"/>
      <c r="W128" s="37"/>
      <c r="X128" s="37"/>
      <c r="Y128" s="37"/>
      <c r="Z128" s="37"/>
      <c r="AA128" s="37"/>
      <c r="AB128" s="85"/>
      <c r="AC128" s="37"/>
      <c r="AD128" s="39">
        <v>354</v>
      </c>
      <c r="AE128" s="87" t="str">
        <f>(TRUNC(AD128/12))&amp;"년 "&amp;(ROUNDDOWN(MOD(AD128,12),0))&amp;"개월"</f>
        <v>29년 6개월</v>
      </c>
      <c r="AF128" s="39">
        <f ca="1">(재직자!$AL$1-K128)/30</f>
        <v>122.8</v>
      </c>
      <c r="AG128" s="91" t="str">
        <f ca="1">(TRUNC(AF128/12))&amp;"년 "&amp;(ROUNDDOWN(MOD(AF128,12),0))&amp;"개월"</f>
        <v>10년 2개월</v>
      </c>
      <c r="AH128" s="39">
        <f ca="1">+AD128+AF128</f>
        <v>476.8</v>
      </c>
      <c r="AI128" s="91" t="str">
        <f ca="1">(TRUNC(AH128/12))&amp;"년 "&amp;(ROUNDDOWN(MOD(AH128,12),0))&amp;"개월"</f>
        <v>39년 8개월</v>
      </c>
      <c r="AJ128" s="88" t="s">
        <v>3326</v>
      </c>
      <c r="AK128" s="81" t="s">
        <v>3327</v>
      </c>
      <c r="AL128" s="62" t="s">
        <v>3328</v>
      </c>
      <c r="AM128" s="37"/>
      <c r="AN128" s="37" t="s">
        <v>3329</v>
      </c>
      <c r="AO128" s="54" t="s">
        <v>3330</v>
      </c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</row>
    <row r="129" spans="1:52" ht="15.75" customHeight="1">
      <c r="A129" s="33" t="s">
        <v>2566</v>
      </c>
      <c r="B129" s="37"/>
      <c r="C129" s="37"/>
      <c r="D129" s="104"/>
      <c r="E129" s="104"/>
      <c r="F129" s="37"/>
      <c r="G129" s="37"/>
      <c r="H129" s="80"/>
      <c r="I129" s="37"/>
      <c r="J129" s="37"/>
      <c r="K129" s="37"/>
      <c r="L129" s="36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9"/>
      <c r="AE129" s="37"/>
      <c r="AF129" s="39"/>
      <c r="AG129" s="37"/>
      <c r="AH129" s="39"/>
      <c r="AI129" s="37"/>
      <c r="AJ129" s="44"/>
      <c r="AK129" s="37"/>
      <c r="AL129" s="44"/>
      <c r="AM129" s="37"/>
      <c r="AN129" s="37"/>
      <c r="AO129" s="37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</row>
    <row r="130" spans="1:52" ht="15.75" customHeight="1">
      <c r="A130" s="33" t="s">
        <v>2659</v>
      </c>
      <c r="B130" s="37"/>
      <c r="C130" s="37"/>
      <c r="D130" s="104"/>
      <c r="E130" s="104"/>
      <c r="F130" s="37"/>
      <c r="G130" s="37"/>
      <c r="H130" s="80"/>
      <c r="I130" s="37"/>
      <c r="J130" s="37"/>
      <c r="K130" s="37"/>
      <c r="L130" s="36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9"/>
      <c r="AE130" s="37"/>
      <c r="AF130" s="39"/>
      <c r="AG130" s="37"/>
      <c r="AH130" s="39"/>
      <c r="AI130" s="37"/>
      <c r="AJ130" s="44"/>
      <c r="AK130" s="37"/>
      <c r="AL130" s="44"/>
      <c r="AM130" s="37"/>
      <c r="AN130" s="37"/>
      <c r="AO130" s="37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</row>
    <row r="131" spans="1:52" ht="15.75" customHeight="1">
      <c r="A131" s="33" t="s">
        <v>4108</v>
      </c>
      <c r="B131" s="37"/>
      <c r="C131" s="37"/>
      <c r="D131" s="104"/>
      <c r="E131" s="104"/>
      <c r="F131" s="37"/>
      <c r="G131" s="37"/>
      <c r="H131" s="80"/>
      <c r="I131" s="37"/>
      <c r="J131" s="37"/>
      <c r="K131" s="37"/>
      <c r="L131" s="36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9"/>
      <c r="AE131" s="37"/>
      <c r="AF131" s="39"/>
      <c r="AG131" s="37"/>
      <c r="AH131" s="39"/>
      <c r="AI131" s="37"/>
      <c r="AJ131" s="44"/>
      <c r="AK131" s="37"/>
      <c r="AL131" s="44"/>
      <c r="AM131" s="37"/>
      <c r="AN131" s="37"/>
      <c r="AO131" s="37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</row>
    <row r="132" spans="1:52" ht="15.75" customHeight="1">
      <c r="A132" s="33" t="s">
        <v>2460</v>
      </c>
      <c r="B132" s="37"/>
      <c r="C132" s="37"/>
      <c r="D132" s="104"/>
      <c r="E132" s="104"/>
      <c r="F132" s="37"/>
      <c r="G132" s="37"/>
      <c r="H132" s="80"/>
      <c r="I132" s="37"/>
      <c r="J132" s="37"/>
      <c r="K132" s="37"/>
      <c r="L132" s="36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9"/>
      <c r="AE132" s="37"/>
      <c r="AF132" s="39"/>
      <c r="AG132" s="37"/>
      <c r="AH132" s="39"/>
      <c r="AI132" s="37"/>
      <c r="AJ132" s="44"/>
      <c r="AK132" s="37"/>
      <c r="AL132" s="44"/>
      <c r="AM132" s="37"/>
      <c r="AN132" s="37"/>
      <c r="AO132" s="37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</row>
    <row r="133" spans="1:52" ht="15.75" customHeight="1">
      <c r="A133" s="33" t="s">
        <v>2444</v>
      </c>
      <c r="B133" s="37"/>
      <c r="C133" s="37"/>
      <c r="D133" s="104"/>
      <c r="E133" s="104"/>
      <c r="F133" s="37"/>
      <c r="G133" s="37"/>
      <c r="H133" s="80"/>
      <c r="I133" s="37"/>
      <c r="J133" s="37"/>
      <c r="K133" s="37"/>
      <c r="L133" s="36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9"/>
      <c r="AE133" s="37"/>
      <c r="AF133" s="39"/>
      <c r="AG133" s="37"/>
      <c r="AH133" s="39"/>
      <c r="AI133" s="37"/>
      <c r="AJ133" s="44"/>
      <c r="AK133" s="37"/>
      <c r="AL133" s="44"/>
      <c r="AM133" s="37"/>
      <c r="AN133" s="37"/>
      <c r="AO133" s="37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</row>
    <row r="134" spans="1:52" ht="15.75" customHeight="1">
      <c r="A134" s="33" t="s">
        <v>2399</v>
      </c>
      <c r="B134" s="37"/>
      <c r="C134" s="37"/>
      <c r="D134" s="104"/>
      <c r="E134" s="104"/>
      <c r="F134" s="37"/>
      <c r="G134" s="37"/>
      <c r="H134" s="80"/>
      <c r="I134" s="37"/>
      <c r="J134" s="37"/>
      <c r="K134" s="37"/>
      <c r="L134" s="36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9"/>
      <c r="AE134" s="37"/>
      <c r="AF134" s="39"/>
      <c r="AG134" s="37"/>
      <c r="AH134" s="39"/>
      <c r="AI134" s="37"/>
      <c r="AJ134" s="44"/>
      <c r="AK134" s="37"/>
      <c r="AL134" s="44"/>
      <c r="AM134" s="37"/>
      <c r="AN134" s="37"/>
      <c r="AO134" s="37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</row>
    <row r="135" spans="1:52" ht="15.75" customHeight="1">
      <c r="A135" s="33" t="s">
        <v>4109</v>
      </c>
      <c r="B135" s="37"/>
      <c r="C135" s="37"/>
      <c r="D135" s="104"/>
      <c r="E135" s="104"/>
      <c r="F135" s="37"/>
      <c r="G135" s="37"/>
      <c r="H135" s="80"/>
      <c r="I135" s="37"/>
      <c r="J135" s="37"/>
      <c r="K135" s="37"/>
      <c r="L135" s="36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9"/>
      <c r="AE135" s="37"/>
      <c r="AF135" s="39"/>
      <c r="AG135" s="37"/>
      <c r="AH135" s="39"/>
      <c r="AI135" s="37"/>
      <c r="AJ135" s="44"/>
      <c r="AK135" s="37"/>
      <c r="AL135" s="44"/>
      <c r="AM135" s="37"/>
      <c r="AN135" s="37"/>
      <c r="AO135" s="37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</row>
    <row r="136" spans="1:52" ht="15.75" customHeight="1">
      <c r="A136" s="122"/>
      <c r="B136" s="122"/>
      <c r="C136" s="122"/>
      <c r="D136" s="123"/>
      <c r="E136" s="123"/>
      <c r="F136" s="122"/>
      <c r="G136" s="122"/>
      <c r="H136" s="124"/>
      <c r="I136" s="122"/>
      <c r="J136" s="122"/>
      <c r="K136" s="122"/>
      <c r="L136" s="125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6"/>
      <c r="AE136" s="122"/>
      <c r="AF136" s="126"/>
      <c r="AG136" s="122"/>
      <c r="AH136" s="126"/>
      <c r="AI136" s="122"/>
      <c r="AJ136" s="32"/>
      <c r="AK136" s="122"/>
      <c r="AL136" s="32"/>
      <c r="AM136" s="122"/>
      <c r="AN136" s="122"/>
      <c r="AO136" s="12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</row>
    <row r="137" spans="1:52" ht="15.75" customHeight="1">
      <c r="A137" s="122"/>
      <c r="B137" s="122"/>
      <c r="C137" s="122"/>
      <c r="D137" s="123"/>
      <c r="E137" s="123"/>
      <c r="F137" s="122"/>
      <c r="G137" s="122"/>
      <c r="H137" s="124"/>
      <c r="I137" s="122"/>
      <c r="J137" s="122"/>
      <c r="K137" s="122"/>
      <c r="L137" s="125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6"/>
      <c r="AE137" s="122"/>
      <c r="AF137" s="126"/>
      <c r="AG137" s="122"/>
      <c r="AH137" s="126"/>
      <c r="AI137" s="122"/>
      <c r="AJ137" s="32"/>
      <c r="AK137" s="122"/>
      <c r="AL137" s="32"/>
      <c r="AM137" s="122"/>
      <c r="AN137" s="122"/>
      <c r="AO137" s="12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</row>
    <row r="138" spans="1:52" ht="15.75" customHeight="1">
      <c r="A138" s="122"/>
      <c r="B138" s="122"/>
      <c r="C138" s="122"/>
      <c r="D138" s="123"/>
      <c r="E138" s="123"/>
      <c r="F138" s="122"/>
      <c r="G138" s="122"/>
      <c r="H138" s="124"/>
      <c r="I138" s="122"/>
      <c r="J138" s="122"/>
      <c r="K138" s="122"/>
      <c r="L138" s="125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6"/>
      <c r="AE138" s="122"/>
      <c r="AF138" s="126"/>
      <c r="AG138" s="122"/>
      <c r="AH138" s="126"/>
      <c r="AI138" s="122"/>
      <c r="AJ138" s="32"/>
      <c r="AK138" s="122"/>
      <c r="AL138" s="32"/>
      <c r="AM138" s="122"/>
      <c r="AN138" s="122"/>
      <c r="AO138" s="12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</row>
    <row r="139" spans="1:52" ht="15.75" customHeight="1">
      <c r="A139" s="122"/>
      <c r="B139" s="122"/>
      <c r="C139" s="122"/>
      <c r="D139" s="123"/>
      <c r="E139" s="123"/>
      <c r="F139" s="122"/>
      <c r="G139" s="122"/>
      <c r="H139" s="124"/>
      <c r="I139" s="122"/>
      <c r="J139" s="122"/>
      <c r="K139" s="122"/>
      <c r="L139" s="125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6"/>
      <c r="AE139" s="122"/>
      <c r="AF139" s="126"/>
      <c r="AG139" s="122"/>
      <c r="AH139" s="126"/>
      <c r="AI139" s="122"/>
      <c r="AJ139" s="32"/>
      <c r="AK139" s="122"/>
      <c r="AL139" s="32"/>
      <c r="AM139" s="122"/>
      <c r="AN139" s="122"/>
      <c r="AO139" s="12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</row>
    <row r="140" spans="1:52" ht="15.75" customHeight="1">
      <c r="A140" s="122"/>
      <c r="B140" s="122"/>
      <c r="C140" s="122"/>
      <c r="D140" s="123"/>
      <c r="E140" s="123"/>
      <c r="F140" s="122"/>
      <c r="G140" s="122"/>
      <c r="H140" s="124"/>
      <c r="I140" s="122"/>
      <c r="J140" s="122"/>
      <c r="K140" s="122"/>
      <c r="L140" s="125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6"/>
      <c r="AE140" s="122"/>
      <c r="AF140" s="126"/>
      <c r="AG140" s="122"/>
      <c r="AH140" s="126"/>
      <c r="AI140" s="122"/>
      <c r="AJ140" s="32"/>
      <c r="AK140" s="122"/>
      <c r="AL140" s="32"/>
      <c r="AM140" s="122"/>
      <c r="AN140" s="122"/>
      <c r="AO140" s="12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</row>
    <row r="141" spans="1:52" ht="15.75" customHeight="1">
      <c r="A141" s="122"/>
      <c r="B141" s="122"/>
      <c r="C141" s="122"/>
      <c r="D141" s="123"/>
      <c r="E141" s="123"/>
      <c r="F141" s="122"/>
      <c r="G141" s="122"/>
      <c r="H141" s="124"/>
      <c r="I141" s="122"/>
      <c r="J141" s="122"/>
      <c r="K141" s="122"/>
      <c r="L141" s="125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6"/>
      <c r="AE141" s="122"/>
      <c r="AF141" s="126"/>
      <c r="AG141" s="122"/>
      <c r="AH141" s="126"/>
      <c r="AI141" s="122"/>
      <c r="AJ141" s="32"/>
      <c r="AK141" s="122"/>
      <c r="AL141" s="32"/>
      <c r="AM141" s="122"/>
      <c r="AN141" s="122"/>
      <c r="AO141" s="12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</row>
    <row r="142" spans="1:52" ht="15.75" customHeight="1">
      <c r="A142" s="122"/>
      <c r="B142" s="122"/>
      <c r="C142" s="122"/>
      <c r="D142" s="123"/>
      <c r="E142" s="123"/>
      <c r="F142" s="122"/>
      <c r="G142" s="122"/>
      <c r="H142" s="124"/>
      <c r="I142" s="122"/>
      <c r="J142" s="122"/>
      <c r="K142" s="122"/>
      <c r="L142" s="125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6"/>
      <c r="AE142" s="122"/>
      <c r="AF142" s="126"/>
      <c r="AG142" s="122"/>
      <c r="AH142" s="126"/>
      <c r="AI142" s="122"/>
      <c r="AJ142" s="32"/>
      <c r="AK142" s="122"/>
      <c r="AL142" s="32"/>
      <c r="AM142" s="122"/>
      <c r="AN142" s="122"/>
      <c r="AO142" s="12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</row>
    <row r="143" spans="1:52" ht="15.75" customHeight="1">
      <c r="A143" s="122"/>
      <c r="B143" s="122"/>
      <c r="C143" s="122"/>
      <c r="D143" s="123"/>
      <c r="E143" s="123"/>
      <c r="F143" s="122"/>
      <c r="G143" s="122"/>
      <c r="H143" s="124"/>
      <c r="I143" s="122"/>
      <c r="J143" s="122"/>
      <c r="K143" s="122"/>
      <c r="L143" s="125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6"/>
      <c r="AE143" s="122"/>
      <c r="AF143" s="126"/>
      <c r="AG143" s="122"/>
      <c r="AH143" s="126"/>
      <c r="AI143" s="122"/>
      <c r="AJ143" s="32"/>
      <c r="AK143" s="122"/>
      <c r="AL143" s="32"/>
      <c r="AM143" s="122"/>
      <c r="AN143" s="122"/>
      <c r="AO143" s="12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</row>
    <row r="144" spans="1:52" ht="15.75" customHeight="1">
      <c r="A144" s="122"/>
      <c r="B144" s="122"/>
      <c r="C144" s="122"/>
      <c r="D144" s="123"/>
      <c r="E144" s="123"/>
      <c r="F144" s="122"/>
      <c r="G144" s="122"/>
      <c r="H144" s="124"/>
      <c r="I144" s="122"/>
      <c r="J144" s="122"/>
      <c r="K144" s="122"/>
      <c r="L144" s="125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6"/>
      <c r="AE144" s="122"/>
      <c r="AF144" s="126"/>
      <c r="AG144" s="122"/>
      <c r="AH144" s="126"/>
      <c r="AI144" s="122"/>
      <c r="AJ144" s="32"/>
      <c r="AK144" s="122"/>
      <c r="AL144" s="32"/>
      <c r="AM144" s="122"/>
      <c r="AN144" s="122"/>
      <c r="AO144" s="12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</row>
    <row r="145" spans="1:52" ht="15.75" customHeight="1">
      <c r="A145" s="122"/>
      <c r="B145" s="122"/>
      <c r="C145" s="122"/>
      <c r="D145" s="123"/>
      <c r="E145" s="123"/>
      <c r="F145" s="122"/>
      <c r="G145" s="122"/>
      <c r="H145" s="124"/>
      <c r="I145" s="122"/>
      <c r="J145" s="122"/>
      <c r="K145" s="122"/>
      <c r="L145" s="125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6"/>
      <c r="AE145" s="122"/>
      <c r="AF145" s="126"/>
      <c r="AG145" s="122"/>
      <c r="AH145" s="126"/>
      <c r="AI145" s="122"/>
      <c r="AJ145" s="32"/>
      <c r="AK145" s="122"/>
      <c r="AL145" s="32"/>
      <c r="AM145" s="122"/>
      <c r="AN145" s="122"/>
      <c r="AO145" s="12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</row>
    <row r="146" spans="1:52" ht="15.75" customHeight="1">
      <c r="A146" s="122"/>
      <c r="B146" s="122"/>
      <c r="C146" s="122"/>
      <c r="D146" s="123"/>
      <c r="E146" s="123"/>
      <c r="F146" s="122"/>
      <c r="G146" s="122"/>
      <c r="H146" s="124"/>
      <c r="I146" s="122"/>
      <c r="J146" s="122"/>
      <c r="K146" s="122"/>
      <c r="L146" s="125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6"/>
      <c r="AE146" s="122"/>
      <c r="AF146" s="126"/>
      <c r="AG146" s="122"/>
      <c r="AH146" s="126"/>
      <c r="AI146" s="122"/>
      <c r="AJ146" s="32"/>
      <c r="AK146" s="122"/>
      <c r="AL146" s="32"/>
      <c r="AM146" s="122"/>
      <c r="AN146" s="122"/>
      <c r="AO146" s="12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</row>
    <row r="147" spans="1:52" ht="15.75" customHeight="1">
      <c r="A147" s="122"/>
      <c r="B147" s="122"/>
      <c r="C147" s="122"/>
      <c r="D147" s="123"/>
      <c r="E147" s="123"/>
      <c r="F147" s="122"/>
      <c r="G147" s="122"/>
      <c r="H147" s="124"/>
      <c r="I147" s="122"/>
      <c r="J147" s="122"/>
      <c r="K147" s="122"/>
      <c r="L147" s="125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6"/>
      <c r="AE147" s="122"/>
      <c r="AF147" s="126"/>
      <c r="AG147" s="122"/>
      <c r="AH147" s="126"/>
      <c r="AI147" s="122"/>
      <c r="AJ147" s="32"/>
      <c r="AK147" s="122"/>
      <c r="AL147" s="32"/>
      <c r="AM147" s="122"/>
      <c r="AN147" s="122"/>
      <c r="AO147" s="12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</row>
    <row r="148" spans="1:52" ht="15.75" customHeight="1">
      <c r="A148" s="122"/>
      <c r="B148" s="122"/>
      <c r="C148" s="122"/>
      <c r="D148" s="123"/>
      <c r="E148" s="123"/>
      <c r="F148" s="122"/>
      <c r="G148" s="122"/>
      <c r="H148" s="124"/>
      <c r="I148" s="122"/>
      <c r="J148" s="122"/>
      <c r="K148" s="122"/>
      <c r="L148" s="125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6"/>
      <c r="AE148" s="122"/>
      <c r="AF148" s="126"/>
      <c r="AG148" s="122"/>
      <c r="AH148" s="126"/>
      <c r="AI148" s="122"/>
      <c r="AJ148" s="32"/>
      <c r="AK148" s="122"/>
      <c r="AL148" s="32"/>
      <c r="AM148" s="122"/>
      <c r="AN148" s="122"/>
      <c r="AO148" s="12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</row>
    <row r="149" spans="1:52" ht="15.75" customHeight="1">
      <c r="A149" s="122"/>
      <c r="B149" s="122"/>
      <c r="C149" s="122"/>
      <c r="D149" s="123"/>
      <c r="E149" s="123"/>
      <c r="F149" s="122"/>
      <c r="G149" s="122"/>
      <c r="H149" s="124"/>
      <c r="I149" s="122"/>
      <c r="J149" s="122"/>
      <c r="K149" s="122"/>
      <c r="L149" s="125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6"/>
      <c r="AE149" s="122"/>
      <c r="AF149" s="126"/>
      <c r="AG149" s="122"/>
      <c r="AH149" s="126"/>
      <c r="AI149" s="122"/>
      <c r="AJ149" s="32"/>
      <c r="AK149" s="122"/>
      <c r="AL149" s="32"/>
      <c r="AM149" s="122"/>
      <c r="AN149" s="122"/>
      <c r="AO149" s="12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</row>
    <row r="150" spans="1:52" ht="15.75" customHeight="1">
      <c r="A150" s="122"/>
      <c r="B150" s="122"/>
      <c r="C150" s="122"/>
      <c r="D150" s="123"/>
      <c r="E150" s="123"/>
      <c r="F150" s="122"/>
      <c r="G150" s="122"/>
      <c r="H150" s="124"/>
      <c r="I150" s="122"/>
      <c r="J150" s="122"/>
      <c r="K150" s="122"/>
      <c r="L150" s="125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6"/>
      <c r="AE150" s="122"/>
      <c r="AF150" s="126"/>
      <c r="AG150" s="122"/>
      <c r="AH150" s="126"/>
      <c r="AI150" s="122"/>
      <c r="AJ150" s="32"/>
      <c r="AK150" s="122"/>
      <c r="AL150" s="32"/>
      <c r="AM150" s="122"/>
      <c r="AN150" s="122"/>
      <c r="AO150" s="12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</row>
    <row r="151" spans="1:52" ht="15.75" customHeight="1">
      <c r="A151" s="122"/>
      <c r="B151" s="122"/>
      <c r="C151" s="122"/>
      <c r="D151" s="123"/>
      <c r="E151" s="123"/>
      <c r="F151" s="122"/>
      <c r="G151" s="122"/>
      <c r="H151" s="124"/>
      <c r="I151" s="122"/>
      <c r="J151" s="122"/>
      <c r="K151" s="122"/>
      <c r="L151" s="125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6"/>
      <c r="AE151" s="122"/>
      <c r="AF151" s="126"/>
      <c r="AG151" s="122"/>
      <c r="AH151" s="126"/>
      <c r="AI151" s="122"/>
      <c r="AJ151" s="32"/>
      <c r="AK151" s="122"/>
      <c r="AL151" s="32"/>
      <c r="AM151" s="122"/>
      <c r="AN151" s="122"/>
      <c r="AO151" s="12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</row>
    <row r="152" spans="1:52" ht="15.75" customHeight="1">
      <c r="A152" s="122"/>
      <c r="B152" s="122"/>
      <c r="C152" s="122"/>
      <c r="D152" s="123"/>
      <c r="E152" s="123"/>
      <c r="F152" s="122"/>
      <c r="G152" s="122"/>
      <c r="H152" s="124"/>
      <c r="I152" s="122"/>
      <c r="J152" s="122"/>
      <c r="K152" s="122"/>
      <c r="L152" s="125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6"/>
      <c r="AE152" s="122"/>
      <c r="AF152" s="126"/>
      <c r="AG152" s="122"/>
      <c r="AH152" s="126"/>
      <c r="AI152" s="122"/>
      <c r="AJ152" s="32"/>
      <c r="AK152" s="122"/>
      <c r="AL152" s="32"/>
      <c r="AM152" s="122"/>
      <c r="AN152" s="122"/>
      <c r="AO152" s="12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</row>
    <row r="153" spans="1:52" ht="15.75" customHeight="1">
      <c r="A153" s="122"/>
      <c r="B153" s="122"/>
      <c r="C153" s="122"/>
      <c r="D153" s="123"/>
      <c r="E153" s="123"/>
      <c r="F153" s="122"/>
      <c r="G153" s="122"/>
      <c r="H153" s="124"/>
      <c r="I153" s="122"/>
      <c r="J153" s="122"/>
      <c r="K153" s="122"/>
      <c r="L153" s="125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6"/>
      <c r="AE153" s="122"/>
      <c r="AF153" s="126"/>
      <c r="AG153" s="122"/>
      <c r="AH153" s="126"/>
      <c r="AI153" s="122"/>
      <c r="AJ153" s="32"/>
      <c r="AK153" s="122"/>
      <c r="AL153" s="32"/>
      <c r="AM153" s="122"/>
      <c r="AN153" s="122"/>
      <c r="AO153" s="12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</row>
    <row r="154" spans="1:52" ht="15.75" customHeight="1">
      <c r="A154" s="122"/>
      <c r="B154" s="122"/>
      <c r="C154" s="122"/>
      <c r="D154" s="123"/>
      <c r="E154" s="123"/>
      <c r="F154" s="122"/>
      <c r="G154" s="122"/>
      <c r="H154" s="124"/>
      <c r="I154" s="122"/>
      <c r="J154" s="122"/>
      <c r="K154" s="122"/>
      <c r="L154" s="125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6"/>
      <c r="AE154" s="122"/>
      <c r="AF154" s="126"/>
      <c r="AG154" s="122"/>
      <c r="AH154" s="126"/>
      <c r="AI154" s="122"/>
      <c r="AJ154" s="32"/>
      <c r="AK154" s="122"/>
      <c r="AL154" s="32"/>
      <c r="AM154" s="122"/>
      <c r="AN154" s="122"/>
      <c r="AO154" s="12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</row>
    <row r="155" spans="1:52" ht="15.75" customHeight="1">
      <c r="A155" s="122"/>
      <c r="B155" s="122"/>
      <c r="C155" s="122"/>
      <c r="D155" s="123"/>
      <c r="E155" s="123"/>
      <c r="F155" s="122"/>
      <c r="G155" s="122"/>
      <c r="H155" s="124"/>
      <c r="I155" s="122"/>
      <c r="J155" s="122"/>
      <c r="K155" s="122"/>
      <c r="L155" s="125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6"/>
      <c r="AE155" s="122"/>
      <c r="AF155" s="126"/>
      <c r="AG155" s="122"/>
      <c r="AH155" s="126"/>
      <c r="AI155" s="122"/>
      <c r="AJ155" s="32"/>
      <c r="AK155" s="122"/>
      <c r="AL155" s="32"/>
      <c r="AM155" s="122"/>
      <c r="AN155" s="122"/>
      <c r="AO155" s="12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</row>
    <row r="156" spans="1:52" ht="15.75" customHeight="1">
      <c r="A156" s="122"/>
      <c r="B156" s="122"/>
      <c r="C156" s="122"/>
      <c r="D156" s="123"/>
      <c r="E156" s="123"/>
      <c r="F156" s="122"/>
      <c r="G156" s="122"/>
      <c r="H156" s="124"/>
      <c r="I156" s="122"/>
      <c r="J156" s="122"/>
      <c r="K156" s="122"/>
      <c r="L156" s="125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6"/>
      <c r="AE156" s="122"/>
      <c r="AF156" s="126"/>
      <c r="AG156" s="122"/>
      <c r="AH156" s="126"/>
      <c r="AI156" s="122"/>
      <c r="AJ156" s="32"/>
      <c r="AK156" s="122"/>
      <c r="AL156" s="32"/>
      <c r="AM156" s="122"/>
      <c r="AN156" s="122"/>
      <c r="AO156" s="12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</row>
    <row r="157" spans="1:52" ht="15.75" customHeight="1">
      <c r="A157" s="122"/>
      <c r="B157" s="122"/>
      <c r="C157" s="122"/>
      <c r="D157" s="123"/>
      <c r="E157" s="123"/>
      <c r="F157" s="122"/>
      <c r="G157" s="122"/>
      <c r="H157" s="124"/>
      <c r="I157" s="122"/>
      <c r="J157" s="122"/>
      <c r="K157" s="122"/>
      <c r="L157" s="125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6"/>
      <c r="AE157" s="122"/>
      <c r="AF157" s="126"/>
      <c r="AG157" s="122"/>
      <c r="AH157" s="126"/>
      <c r="AI157" s="122"/>
      <c r="AJ157" s="32"/>
      <c r="AK157" s="122"/>
      <c r="AL157" s="32"/>
      <c r="AM157" s="122"/>
      <c r="AN157" s="122"/>
      <c r="AO157" s="12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</row>
    <row r="158" spans="1:52" ht="15.75" customHeight="1">
      <c r="A158" s="122"/>
      <c r="B158" s="122"/>
      <c r="C158" s="122"/>
      <c r="D158" s="123"/>
      <c r="E158" s="123"/>
      <c r="F158" s="122"/>
      <c r="G158" s="122"/>
      <c r="H158" s="124"/>
      <c r="I158" s="122"/>
      <c r="J158" s="122"/>
      <c r="K158" s="122"/>
      <c r="L158" s="125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6"/>
      <c r="AE158" s="122"/>
      <c r="AF158" s="126"/>
      <c r="AG158" s="122"/>
      <c r="AH158" s="126"/>
      <c r="AI158" s="122"/>
      <c r="AJ158" s="32"/>
      <c r="AK158" s="122"/>
      <c r="AL158" s="32"/>
      <c r="AM158" s="122"/>
      <c r="AN158" s="122"/>
      <c r="AO158" s="12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</row>
    <row r="159" spans="1:52" ht="15.75" customHeight="1">
      <c r="A159" s="122"/>
      <c r="B159" s="122"/>
      <c r="C159" s="122"/>
      <c r="D159" s="123"/>
      <c r="E159" s="123"/>
      <c r="F159" s="122"/>
      <c r="G159" s="122"/>
      <c r="H159" s="124"/>
      <c r="I159" s="122"/>
      <c r="J159" s="122"/>
      <c r="K159" s="122"/>
      <c r="L159" s="125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6"/>
      <c r="AE159" s="122"/>
      <c r="AF159" s="126"/>
      <c r="AG159" s="122"/>
      <c r="AH159" s="126"/>
      <c r="AI159" s="122"/>
      <c r="AJ159" s="32"/>
      <c r="AK159" s="122"/>
      <c r="AL159" s="32"/>
      <c r="AM159" s="122"/>
      <c r="AN159" s="122"/>
      <c r="AO159" s="12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</row>
    <row r="160" spans="1:52" ht="15.75" customHeight="1">
      <c r="A160" s="122"/>
      <c r="B160" s="122"/>
      <c r="C160" s="122"/>
      <c r="D160" s="123"/>
      <c r="E160" s="123"/>
      <c r="F160" s="122"/>
      <c r="G160" s="122"/>
      <c r="H160" s="124"/>
      <c r="I160" s="122"/>
      <c r="J160" s="122"/>
      <c r="K160" s="122"/>
      <c r="L160" s="125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6"/>
      <c r="AE160" s="122"/>
      <c r="AF160" s="126"/>
      <c r="AG160" s="122"/>
      <c r="AH160" s="126"/>
      <c r="AI160" s="122"/>
      <c r="AJ160" s="32"/>
      <c r="AK160" s="122"/>
      <c r="AL160" s="32"/>
      <c r="AM160" s="122"/>
      <c r="AN160" s="122"/>
      <c r="AO160" s="12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</row>
    <row r="161" spans="1:52" ht="15.75" customHeight="1">
      <c r="A161" s="122"/>
      <c r="B161" s="122"/>
      <c r="C161" s="122"/>
      <c r="D161" s="123"/>
      <c r="E161" s="123"/>
      <c r="F161" s="122"/>
      <c r="G161" s="122"/>
      <c r="H161" s="124"/>
      <c r="I161" s="122"/>
      <c r="J161" s="122"/>
      <c r="K161" s="122"/>
      <c r="L161" s="125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6"/>
      <c r="AE161" s="122"/>
      <c r="AF161" s="126"/>
      <c r="AG161" s="122"/>
      <c r="AH161" s="126"/>
      <c r="AI161" s="122"/>
      <c r="AJ161" s="32"/>
      <c r="AK161" s="122"/>
      <c r="AL161" s="32"/>
      <c r="AM161" s="122"/>
      <c r="AN161" s="122"/>
      <c r="AO161" s="12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</row>
    <row r="162" spans="1:52" ht="15.75" customHeight="1">
      <c r="A162" s="122"/>
      <c r="B162" s="122"/>
      <c r="C162" s="122"/>
      <c r="D162" s="123"/>
      <c r="E162" s="123"/>
      <c r="F162" s="122"/>
      <c r="G162" s="122"/>
      <c r="H162" s="124"/>
      <c r="I162" s="122"/>
      <c r="J162" s="122"/>
      <c r="K162" s="122"/>
      <c r="L162" s="125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6"/>
      <c r="AE162" s="122"/>
      <c r="AF162" s="126"/>
      <c r="AG162" s="122"/>
      <c r="AH162" s="126"/>
      <c r="AI162" s="122"/>
      <c r="AJ162" s="32"/>
      <c r="AK162" s="122"/>
      <c r="AL162" s="32"/>
      <c r="AM162" s="122"/>
      <c r="AN162" s="122"/>
      <c r="AO162" s="12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</row>
    <row r="163" spans="1:52" ht="15.75" customHeight="1">
      <c r="A163" s="122"/>
      <c r="B163" s="122"/>
      <c r="C163" s="122"/>
      <c r="D163" s="123"/>
      <c r="E163" s="123"/>
      <c r="F163" s="122"/>
      <c r="G163" s="122"/>
      <c r="H163" s="124"/>
      <c r="I163" s="122"/>
      <c r="J163" s="122"/>
      <c r="K163" s="122"/>
      <c r="L163" s="125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6"/>
      <c r="AE163" s="122"/>
      <c r="AF163" s="126"/>
      <c r="AG163" s="122"/>
      <c r="AH163" s="126"/>
      <c r="AI163" s="122"/>
      <c r="AJ163" s="32"/>
      <c r="AK163" s="122"/>
      <c r="AL163" s="32"/>
      <c r="AM163" s="122"/>
      <c r="AN163" s="122"/>
      <c r="AO163" s="12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</row>
    <row r="164" spans="1:52" ht="15.75" customHeight="1">
      <c r="A164" s="122"/>
      <c r="B164" s="122"/>
      <c r="C164" s="122"/>
      <c r="D164" s="123"/>
      <c r="E164" s="123"/>
      <c r="F164" s="122"/>
      <c r="G164" s="122"/>
      <c r="H164" s="124"/>
      <c r="I164" s="122"/>
      <c r="J164" s="122"/>
      <c r="K164" s="122"/>
      <c r="L164" s="125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6"/>
      <c r="AE164" s="122"/>
      <c r="AF164" s="126"/>
      <c r="AG164" s="122"/>
      <c r="AH164" s="126"/>
      <c r="AI164" s="122"/>
      <c r="AJ164" s="32"/>
      <c r="AK164" s="122"/>
      <c r="AL164" s="32"/>
      <c r="AM164" s="122"/>
      <c r="AN164" s="122"/>
      <c r="AO164" s="12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</row>
    <row r="165" spans="1:52" ht="15.75" customHeight="1">
      <c r="A165" s="122"/>
      <c r="B165" s="122"/>
      <c r="C165" s="122"/>
      <c r="D165" s="123"/>
      <c r="E165" s="123"/>
      <c r="F165" s="122"/>
      <c r="G165" s="122"/>
      <c r="H165" s="124"/>
      <c r="I165" s="122"/>
      <c r="J165" s="122"/>
      <c r="K165" s="122"/>
      <c r="L165" s="125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6"/>
      <c r="AE165" s="122"/>
      <c r="AF165" s="126"/>
      <c r="AG165" s="122"/>
      <c r="AH165" s="126"/>
      <c r="AI165" s="122"/>
      <c r="AJ165" s="32"/>
      <c r="AK165" s="122"/>
      <c r="AL165" s="32"/>
      <c r="AM165" s="122"/>
      <c r="AN165" s="122"/>
      <c r="AO165" s="12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</row>
    <row r="166" spans="1:52" ht="15.75" customHeight="1">
      <c r="A166" s="122"/>
      <c r="B166" s="122"/>
      <c r="C166" s="122"/>
      <c r="D166" s="123"/>
      <c r="E166" s="123"/>
      <c r="F166" s="122"/>
      <c r="G166" s="122"/>
      <c r="H166" s="124"/>
      <c r="I166" s="122"/>
      <c r="J166" s="122"/>
      <c r="K166" s="122"/>
      <c r="L166" s="125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6"/>
      <c r="AE166" s="122"/>
      <c r="AF166" s="126"/>
      <c r="AG166" s="122"/>
      <c r="AH166" s="126"/>
      <c r="AI166" s="122"/>
      <c r="AJ166" s="32"/>
      <c r="AK166" s="122"/>
      <c r="AL166" s="32"/>
      <c r="AM166" s="122"/>
      <c r="AN166" s="122"/>
      <c r="AO166" s="12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</row>
    <row r="167" spans="1:52" ht="15.75" customHeight="1">
      <c r="A167" s="122"/>
      <c r="B167" s="122"/>
      <c r="C167" s="122"/>
      <c r="D167" s="123"/>
      <c r="E167" s="123"/>
      <c r="F167" s="122"/>
      <c r="G167" s="122"/>
      <c r="H167" s="124"/>
      <c r="I167" s="122"/>
      <c r="J167" s="122"/>
      <c r="K167" s="122"/>
      <c r="L167" s="125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6"/>
      <c r="AE167" s="122"/>
      <c r="AF167" s="126"/>
      <c r="AG167" s="122"/>
      <c r="AH167" s="126"/>
      <c r="AI167" s="122"/>
      <c r="AJ167" s="32"/>
      <c r="AK167" s="122"/>
      <c r="AL167" s="32"/>
      <c r="AM167" s="122"/>
      <c r="AN167" s="122"/>
      <c r="AO167" s="12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</row>
    <row r="168" spans="1:52" ht="15.75" customHeight="1">
      <c r="A168" s="122"/>
      <c r="B168" s="122"/>
      <c r="C168" s="122"/>
      <c r="D168" s="123"/>
      <c r="E168" s="123"/>
      <c r="F168" s="122"/>
      <c r="G168" s="122"/>
      <c r="H168" s="124"/>
      <c r="I168" s="122"/>
      <c r="J168" s="122"/>
      <c r="K168" s="122"/>
      <c r="L168" s="125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6"/>
      <c r="AE168" s="122"/>
      <c r="AF168" s="126"/>
      <c r="AG168" s="122"/>
      <c r="AH168" s="126"/>
      <c r="AI168" s="122"/>
      <c r="AJ168" s="32"/>
      <c r="AK168" s="122"/>
      <c r="AL168" s="32"/>
      <c r="AM168" s="122"/>
      <c r="AN168" s="122"/>
      <c r="AO168" s="12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</row>
    <row r="169" spans="1:52" ht="15.75" customHeight="1">
      <c r="A169" s="122"/>
      <c r="B169" s="122"/>
      <c r="C169" s="122"/>
      <c r="D169" s="123"/>
      <c r="E169" s="123"/>
      <c r="F169" s="122"/>
      <c r="G169" s="122"/>
      <c r="H169" s="124"/>
      <c r="I169" s="122"/>
      <c r="J169" s="122"/>
      <c r="K169" s="122"/>
      <c r="L169" s="125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6"/>
      <c r="AE169" s="122"/>
      <c r="AF169" s="126"/>
      <c r="AG169" s="122"/>
      <c r="AH169" s="126"/>
      <c r="AI169" s="122"/>
      <c r="AJ169" s="32"/>
      <c r="AK169" s="122"/>
      <c r="AL169" s="32"/>
      <c r="AM169" s="122"/>
      <c r="AN169" s="122"/>
      <c r="AO169" s="12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</row>
    <row r="170" spans="1:52" ht="15.75" customHeight="1">
      <c r="A170" s="122"/>
      <c r="B170" s="122"/>
      <c r="C170" s="122"/>
      <c r="D170" s="123"/>
      <c r="E170" s="123"/>
      <c r="F170" s="122"/>
      <c r="G170" s="122"/>
      <c r="H170" s="124"/>
      <c r="I170" s="122"/>
      <c r="J170" s="122"/>
      <c r="K170" s="122"/>
      <c r="L170" s="125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6"/>
      <c r="AE170" s="122"/>
      <c r="AF170" s="126"/>
      <c r="AG170" s="122"/>
      <c r="AH170" s="126"/>
      <c r="AI170" s="122"/>
      <c r="AJ170" s="32"/>
      <c r="AK170" s="122"/>
      <c r="AL170" s="32"/>
      <c r="AM170" s="122"/>
      <c r="AN170" s="122"/>
      <c r="AO170" s="12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</row>
    <row r="171" spans="1:52" ht="15.75" customHeight="1">
      <c r="A171" s="122"/>
      <c r="B171" s="122"/>
      <c r="C171" s="122"/>
      <c r="D171" s="123"/>
      <c r="E171" s="123"/>
      <c r="F171" s="122"/>
      <c r="G171" s="122"/>
      <c r="H171" s="124"/>
      <c r="I171" s="122"/>
      <c r="J171" s="122"/>
      <c r="K171" s="122"/>
      <c r="L171" s="125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6"/>
      <c r="AE171" s="122"/>
      <c r="AF171" s="126"/>
      <c r="AG171" s="122"/>
      <c r="AH171" s="126"/>
      <c r="AI171" s="122"/>
      <c r="AJ171" s="32"/>
      <c r="AK171" s="122"/>
      <c r="AL171" s="32"/>
      <c r="AM171" s="122"/>
      <c r="AN171" s="122"/>
      <c r="AO171" s="12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</row>
    <row r="172" spans="1:52" ht="15.75" customHeight="1">
      <c r="A172" s="122"/>
      <c r="B172" s="122"/>
      <c r="C172" s="122"/>
      <c r="D172" s="123"/>
      <c r="E172" s="123"/>
      <c r="F172" s="122"/>
      <c r="G172" s="122"/>
      <c r="H172" s="124"/>
      <c r="I172" s="122"/>
      <c r="J172" s="122"/>
      <c r="K172" s="122"/>
      <c r="L172" s="125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6"/>
      <c r="AE172" s="122"/>
      <c r="AF172" s="126"/>
      <c r="AG172" s="122"/>
      <c r="AH172" s="126"/>
      <c r="AI172" s="122"/>
      <c r="AJ172" s="32"/>
      <c r="AK172" s="122"/>
      <c r="AL172" s="32"/>
      <c r="AM172" s="122"/>
      <c r="AN172" s="122"/>
      <c r="AO172" s="12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</row>
    <row r="173" spans="1:52" ht="15.75" customHeight="1">
      <c r="A173" s="122"/>
      <c r="B173" s="122"/>
      <c r="C173" s="122"/>
      <c r="D173" s="123"/>
      <c r="E173" s="123"/>
      <c r="F173" s="122"/>
      <c r="G173" s="122"/>
      <c r="H173" s="124"/>
      <c r="I173" s="122"/>
      <c r="J173" s="122"/>
      <c r="K173" s="122"/>
      <c r="L173" s="125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6"/>
      <c r="AE173" s="122"/>
      <c r="AF173" s="126"/>
      <c r="AG173" s="122"/>
      <c r="AH173" s="126"/>
      <c r="AI173" s="122"/>
      <c r="AJ173" s="32"/>
      <c r="AK173" s="122"/>
      <c r="AL173" s="32"/>
      <c r="AM173" s="122"/>
      <c r="AN173" s="122"/>
      <c r="AO173" s="12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</row>
    <row r="174" spans="1:52" ht="15.75" customHeight="1">
      <c r="A174" s="122"/>
      <c r="B174" s="122"/>
      <c r="C174" s="122"/>
      <c r="D174" s="123"/>
      <c r="E174" s="123"/>
      <c r="F174" s="122"/>
      <c r="G174" s="122"/>
      <c r="H174" s="124"/>
      <c r="I174" s="122"/>
      <c r="J174" s="122"/>
      <c r="K174" s="122"/>
      <c r="L174" s="125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6"/>
      <c r="AE174" s="122"/>
      <c r="AF174" s="126"/>
      <c r="AG174" s="122"/>
      <c r="AH174" s="126"/>
      <c r="AI174" s="122"/>
      <c r="AJ174" s="32"/>
      <c r="AK174" s="122"/>
      <c r="AL174" s="32"/>
      <c r="AM174" s="122"/>
      <c r="AN174" s="122"/>
      <c r="AO174" s="12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</row>
    <row r="175" spans="1:52" ht="15.75" customHeight="1">
      <c r="A175" s="122"/>
      <c r="B175" s="122"/>
      <c r="C175" s="122"/>
      <c r="D175" s="123"/>
      <c r="E175" s="123"/>
      <c r="F175" s="122"/>
      <c r="G175" s="122"/>
      <c r="H175" s="124"/>
      <c r="I175" s="122"/>
      <c r="J175" s="122"/>
      <c r="K175" s="122"/>
      <c r="L175" s="125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6"/>
      <c r="AE175" s="122"/>
      <c r="AF175" s="126"/>
      <c r="AG175" s="122"/>
      <c r="AH175" s="126"/>
      <c r="AI175" s="122"/>
      <c r="AJ175" s="32"/>
      <c r="AK175" s="122"/>
      <c r="AL175" s="32"/>
      <c r="AM175" s="122"/>
      <c r="AN175" s="122"/>
      <c r="AO175" s="12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</row>
    <row r="176" spans="1:52" ht="15.75" customHeight="1">
      <c r="A176" s="122"/>
      <c r="B176" s="122"/>
      <c r="C176" s="122"/>
      <c r="D176" s="123"/>
      <c r="E176" s="123"/>
      <c r="F176" s="122"/>
      <c r="G176" s="122"/>
      <c r="H176" s="124"/>
      <c r="I176" s="122"/>
      <c r="J176" s="122"/>
      <c r="K176" s="122"/>
      <c r="L176" s="125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6"/>
      <c r="AE176" s="122"/>
      <c r="AF176" s="126"/>
      <c r="AG176" s="122"/>
      <c r="AH176" s="126"/>
      <c r="AI176" s="122"/>
      <c r="AJ176" s="32"/>
      <c r="AK176" s="122"/>
      <c r="AL176" s="32"/>
      <c r="AM176" s="122"/>
      <c r="AN176" s="122"/>
      <c r="AO176" s="12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</row>
    <row r="177" spans="1:52" ht="15.75" customHeight="1">
      <c r="A177" s="122"/>
      <c r="B177" s="122"/>
      <c r="C177" s="122"/>
      <c r="D177" s="123"/>
      <c r="E177" s="123"/>
      <c r="F177" s="122"/>
      <c r="G177" s="122"/>
      <c r="H177" s="124"/>
      <c r="I177" s="122"/>
      <c r="J177" s="122"/>
      <c r="K177" s="122"/>
      <c r="L177" s="125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6"/>
      <c r="AE177" s="122"/>
      <c r="AF177" s="126"/>
      <c r="AG177" s="122"/>
      <c r="AH177" s="126"/>
      <c r="AI177" s="122"/>
      <c r="AJ177" s="32"/>
      <c r="AK177" s="122"/>
      <c r="AL177" s="32"/>
      <c r="AM177" s="122"/>
      <c r="AN177" s="122"/>
      <c r="AO177" s="12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</row>
    <row r="178" spans="1:52" ht="15.75" customHeight="1">
      <c r="A178" s="122"/>
      <c r="B178" s="122"/>
      <c r="C178" s="122"/>
      <c r="D178" s="123"/>
      <c r="E178" s="123"/>
      <c r="F178" s="122"/>
      <c r="G178" s="122"/>
      <c r="H178" s="124"/>
      <c r="I178" s="122"/>
      <c r="J178" s="122"/>
      <c r="K178" s="122"/>
      <c r="L178" s="125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6"/>
      <c r="AE178" s="122"/>
      <c r="AF178" s="126"/>
      <c r="AG178" s="122"/>
      <c r="AH178" s="126"/>
      <c r="AI178" s="122"/>
      <c r="AJ178" s="32"/>
      <c r="AK178" s="122"/>
      <c r="AL178" s="32"/>
      <c r="AM178" s="122"/>
      <c r="AN178" s="122"/>
      <c r="AO178" s="12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</row>
    <row r="179" spans="1:52" ht="15.75" customHeight="1">
      <c r="A179" s="122"/>
      <c r="B179" s="122"/>
      <c r="C179" s="122"/>
      <c r="D179" s="123"/>
      <c r="E179" s="123"/>
      <c r="F179" s="122"/>
      <c r="G179" s="122"/>
      <c r="H179" s="124"/>
      <c r="I179" s="122"/>
      <c r="J179" s="122"/>
      <c r="K179" s="122"/>
      <c r="L179" s="125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6"/>
      <c r="AE179" s="122"/>
      <c r="AF179" s="126"/>
      <c r="AG179" s="122"/>
      <c r="AH179" s="126"/>
      <c r="AI179" s="122"/>
      <c r="AJ179" s="32"/>
      <c r="AK179" s="122"/>
      <c r="AL179" s="32"/>
      <c r="AM179" s="122"/>
      <c r="AN179" s="122"/>
      <c r="AO179" s="12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</row>
    <row r="180" spans="1:52" ht="15.75" customHeight="1">
      <c r="A180" s="122"/>
      <c r="B180" s="122"/>
      <c r="C180" s="122"/>
      <c r="D180" s="123"/>
      <c r="E180" s="123"/>
      <c r="F180" s="122"/>
      <c r="G180" s="122"/>
      <c r="H180" s="124"/>
      <c r="I180" s="122"/>
      <c r="J180" s="122"/>
      <c r="K180" s="122"/>
      <c r="L180" s="125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6"/>
      <c r="AE180" s="122"/>
      <c r="AF180" s="126"/>
      <c r="AG180" s="122"/>
      <c r="AH180" s="126"/>
      <c r="AI180" s="122"/>
      <c r="AJ180" s="32"/>
      <c r="AK180" s="122"/>
      <c r="AL180" s="32"/>
      <c r="AM180" s="122"/>
      <c r="AN180" s="122"/>
      <c r="AO180" s="12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</row>
    <row r="181" spans="1:52" ht="15.75" customHeight="1">
      <c r="A181" s="122"/>
      <c r="B181" s="122"/>
      <c r="C181" s="122"/>
      <c r="D181" s="123"/>
      <c r="E181" s="123"/>
      <c r="F181" s="122"/>
      <c r="G181" s="122"/>
      <c r="H181" s="124"/>
      <c r="I181" s="122"/>
      <c r="J181" s="122"/>
      <c r="K181" s="122"/>
      <c r="L181" s="125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6"/>
      <c r="AE181" s="122"/>
      <c r="AF181" s="126"/>
      <c r="AG181" s="122"/>
      <c r="AH181" s="126"/>
      <c r="AI181" s="122"/>
      <c r="AJ181" s="32"/>
      <c r="AK181" s="122"/>
      <c r="AL181" s="32"/>
      <c r="AM181" s="122"/>
      <c r="AN181" s="122"/>
      <c r="AO181" s="12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</row>
    <row r="182" spans="1:52" ht="15.75" customHeight="1">
      <c r="A182" s="122"/>
      <c r="B182" s="122"/>
      <c r="C182" s="122"/>
      <c r="D182" s="123"/>
      <c r="E182" s="123"/>
      <c r="F182" s="122"/>
      <c r="G182" s="122"/>
      <c r="H182" s="124"/>
      <c r="I182" s="122"/>
      <c r="J182" s="122"/>
      <c r="K182" s="122"/>
      <c r="L182" s="125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6"/>
      <c r="AE182" s="122"/>
      <c r="AF182" s="126"/>
      <c r="AG182" s="122"/>
      <c r="AH182" s="126"/>
      <c r="AI182" s="122"/>
      <c r="AJ182" s="32"/>
      <c r="AK182" s="122"/>
      <c r="AL182" s="32"/>
      <c r="AM182" s="122"/>
      <c r="AN182" s="122"/>
      <c r="AO182" s="12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</row>
    <row r="183" spans="1:52" ht="15.75" customHeight="1">
      <c r="A183" s="122"/>
      <c r="B183" s="122"/>
      <c r="C183" s="122"/>
      <c r="D183" s="123"/>
      <c r="E183" s="123"/>
      <c r="F183" s="122"/>
      <c r="G183" s="122"/>
      <c r="H183" s="124"/>
      <c r="I183" s="122"/>
      <c r="J183" s="122"/>
      <c r="K183" s="122"/>
      <c r="L183" s="125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6"/>
      <c r="AE183" s="122"/>
      <c r="AF183" s="126"/>
      <c r="AG183" s="122"/>
      <c r="AH183" s="126"/>
      <c r="AI183" s="122"/>
      <c r="AJ183" s="32"/>
      <c r="AK183" s="122"/>
      <c r="AL183" s="32"/>
      <c r="AM183" s="122"/>
      <c r="AN183" s="122"/>
      <c r="AO183" s="12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</row>
    <row r="184" spans="1:52" ht="15.75" customHeight="1">
      <c r="A184" s="122"/>
      <c r="B184" s="122"/>
      <c r="C184" s="122"/>
      <c r="D184" s="123"/>
      <c r="E184" s="123"/>
      <c r="F184" s="122"/>
      <c r="G184" s="122"/>
      <c r="H184" s="124"/>
      <c r="I184" s="122"/>
      <c r="J184" s="122"/>
      <c r="K184" s="122"/>
      <c r="L184" s="125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6"/>
      <c r="AE184" s="122"/>
      <c r="AF184" s="126"/>
      <c r="AG184" s="122"/>
      <c r="AH184" s="126"/>
      <c r="AI184" s="122"/>
      <c r="AJ184" s="32"/>
      <c r="AK184" s="122"/>
      <c r="AL184" s="32"/>
      <c r="AM184" s="122"/>
      <c r="AN184" s="122"/>
      <c r="AO184" s="12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</row>
    <row r="185" spans="1:52" ht="15.75" customHeight="1">
      <c r="A185" s="122"/>
      <c r="B185" s="122"/>
      <c r="C185" s="122"/>
      <c r="D185" s="123"/>
      <c r="E185" s="123"/>
      <c r="F185" s="122"/>
      <c r="G185" s="122"/>
      <c r="H185" s="124"/>
      <c r="I185" s="122"/>
      <c r="J185" s="122"/>
      <c r="K185" s="122"/>
      <c r="L185" s="125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6"/>
      <c r="AE185" s="122"/>
      <c r="AF185" s="126"/>
      <c r="AG185" s="122"/>
      <c r="AH185" s="126"/>
      <c r="AI185" s="122"/>
      <c r="AJ185" s="32"/>
      <c r="AK185" s="122"/>
      <c r="AL185" s="32"/>
      <c r="AM185" s="122"/>
      <c r="AN185" s="122"/>
      <c r="AO185" s="12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</row>
    <row r="186" spans="1:52" ht="15.75" customHeight="1">
      <c r="A186" s="122"/>
      <c r="B186" s="122"/>
      <c r="C186" s="122"/>
      <c r="D186" s="123"/>
      <c r="E186" s="123"/>
      <c r="F186" s="122"/>
      <c r="G186" s="122"/>
      <c r="H186" s="124"/>
      <c r="I186" s="122"/>
      <c r="J186" s="122"/>
      <c r="K186" s="122"/>
      <c r="L186" s="125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6"/>
      <c r="AE186" s="122"/>
      <c r="AF186" s="126"/>
      <c r="AG186" s="122"/>
      <c r="AH186" s="126"/>
      <c r="AI186" s="122"/>
      <c r="AJ186" s="32"/>
      <c r="AK186" s="122"/>
      <c r="AL186" s="32"/>
      <c r="AM186" s="122"/>
      <c r="AN186" s="122"/>
      <c r="AO186" s="12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</row>
    <row r="187" spans="1:52" ht="15.75" customHeight="1">
      <c r="A187" s="122"/>
      <c r="B187" s="122"/>
      <c r="C187" s="122"/>
      <c r="D187" s="123"/>
      <c r="E187" s="123"/>
      <c r="F187" s="122"/>
      <c r="G187" s="122"/>
      <c r="H187" s="124"/>
      <c r="I187" s="122"/>
      <c r="J187" s="122"/>
      <c r="K187" s="122"/>
      <c r="L187" s="125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6"/>
      <c r="AE187" s="122"/>
      <c r="AF187" s="126"/>
      <c r="AG187" s="122"/>
      <c r="AH187" s="126"/>
      <c r="AI187" s="122"/>
      <c r="AJ187" s="32"/>
      <c r="AK187" s="122"/>
      <c r="AL187" s="32"/>
      <c r="AM187" s="122"/>
      <c r="AN187" s="122"/>
      <c r="AO187" s="12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</row>
    <row r="188" spans="1:52" ht="15.75" customHeight="1">
      <c r="A188" s="122"/>
      <c r="B188" s="122"/>
      <c r="C188" s="122"/>
      <c r="D188" s="123"/>
      <c r="E188" s="123"/>
      <c r="F188" s="122"/>
      <c r="G188" s="122"/>
      <c r="H188" s="124"/>
      <c r="I188" s="122"/>
      <c r="J188" s="122"/>
      <c r="K188" s="122"/>
      <c r="L188" s="125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6"/>
      <c r="AE188" s="122"/>
      <c r="AF188" s="126"/>
      <c r="AG188" s="122"/>
      <c r="AH188" s="126"/>
      <c r="AI188" s="122"/>
      <c r="AJ188" s="32"/>
      <c r="AK188" s="122"/>
      <c r="AL188" s="32"/>
      <c r="AM188" s="122"/>
      <c r="AN188" s="122"/>
      <c r="AO188" s="12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</row>
    <row r="189" spans="1:52" ht="15.75" customHeight="1">
      <c r="A189" s="122"/>
      <c r="B189" s="122"/>
      <c r="C189" s="122"/>
      <c r="D189" s="123"/>
      <c r="E189" s="123"/>
      <c r="F189" s="122"/>
      <c r="G189" s="122"/>
      <c r="H189" s="124"/>
      <c r="I189" s="122"/>
      <c r="J189" s="122"/>
      <c r="K189" s="122"/>
      <c r="L189" s="125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6"/>
      <c r="AE189" s="122"/>
      <c r="AF189" s="126"/>
      <c r="AG189" s="122"/>
      <c r="AH189" s="126"/>
      <c r="AI189" s="122"/>
      <c r="AJ189" s="32"/>
      <c r="AK189" s="122"/>
      <c r="AL189" s="32"/>
      <c r="AM189" s="122"/>
      <c r="AN189" s="122"/>
      <c r="AO189" s="12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</row>
    <row r="190" spans="1:52" ht="15.75" customHeight="1">
      <c r="A190" s="122"/>
      <c r="B190" s="122"/>
      <c r="C190" s="122"/>
      <c r="D190" s="123"/>
      <c r="E190" s="123"/>
      <c r="F190" s="122"/>
      <c r="G190" s="122"/>
      <c r="H190" s="124"/>
      <c r="I190" s="122"/>
      <c r="J190" s="122"/>
      <c r="K190" s="122"/>
      <c r="L190" s="125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6"/>
      <c r="AE190" s="122"/>
      <c r="AF190" s="126"/>
      <c r="AG190" s="122"/>
      <c r="AH190" s="126"/>
      <c r="AI190" s="122"/>
      <c r="AJ190" s="32"/>
      <c r="AK190" s="122"/>
      <c r="AL190" s="32"/>
      <c r="AM190" s="122"/>
      <c r="AN190" s="122"/>
      <c r="AO190" s="12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</row>
    <row r="191" spans="1:52" ht="15.75" customHeight="1">
      <c r="A191" s="122"/>
      <c r="B191" s="122"/>
      <c r="C191" s="122"/>
      <c r="D191" s="123"/>
      <c r="E191" s="123"/>
      <c r="F191" s="122"/>
      <c r="G191" s="122"/>
      <c r="H191" s="124"/>
      <c r="I191" s="122"/>
      <c r="J191" s="122"/>
      <c r="K191" s="122"/>
      <c r="L191" s="125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6"/>
      <c r="AE191" s="122"/>
      <c r="AF191" s="126"/>
      <c r="AG191" s="122"/>
      <c r="AH191" s="126"/>
      <c r="AI191" s="122"/>
      <c r="AJ191" s="32"/>
      <c r="AK191" s="122"/>
      <c r="AL191" s="32"/>
      <c r="AM191" s="122"/>
      <c r="AN191" s="122"/>
      <c r="AO191" s="12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</row>
    <row r="192" spans="1:52" ht="15.75" customHeight="1">
      <c r="A192" s="122"/>
      <c r="B192" s="122"/>
      <c r="C192" s="122"/>
      <c r="D192" s="123"/>
      <c r="E192" s="123"/>
      <c r="F192" s="122"/>
      <c r="G192" s="122"/>
      <c r="H192" s="124"/>
      <c r="I192" s="122"/>
      <c r="J192" s="122"/>
      <c r="K192" s="122"/>
      <c r="L192" s="125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6"/>
      <c r="AE192" s="122"/>
      <c r="AF192" s="126"/>
      <c r="AG192" s="122"/>
      <c r="AH192" s="126"/>
      <c r="AI192" s="122"/>
      <c r="AJ192" s="32"/>
      <c r="AK192" s="122"/>
      <c r="AL192" s="32"/>
      <c r="AM192" s="122"/>
      <c r="AN192" s="122"/>
      <c r="AO192" s="12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</row>
    <row r="193" spans="1:52" ht="15.75" customHeight="1">
      <c r="A193" s="122"/>
      <c r="B193" s="122"/>
      <c r="C193" s="122"/>
      <c r="D193" s="123"/>
      <c r="E193" s="123"/>
      <c r="F193" s="122"/>
      <c r="G193" s="122"/>
      <c r="H193" s="124"/>
      <c r="I193" s="122"/>
      <c r="J193" s="122"/>
      <c r="K193" s="122"/>
      <c r="L193" s="125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6"/>
      <c r="AE193" s="122"/>
      <c r="AF193" s="126"/>
      <c r="AG193" s="122"/>
      <c r="AH193" s="126"/>
      <c r="AI193" s="122"/>
      <c r="AJ193" s="32"/>
      <c r="AK193" s="122"/>
      <c r="AL193" s="32"/>
      <c r="AM193" s="122"/>
      <c r="AN193" s="122"/>
      <c r="AO193" s="12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</row>
    <row r="194" spans="1:52" ht="15.75" customHeight="1">
      <c r="A194" s="122"/>
      <c r="B194" s="122"/>
      <c r="C194" s="122"/>
      <c r="D194" s="123"/>
      <c r="E194" s="123"/>
      <c r="F194" s="122"/>
      <c r="G194" s="122"/>
      <c r="H194" s="124"/>
      <c r="I194" s="122"/>
      <c r="J194" s="122"/>
      <c r="K194" s="122"/>
      <c r="L194" s="125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6"/>
      <c r="AE194" s="122"/>
      <c r="AF194" s="126"/>
      <c r="AG194" s="122"/>
      <c r="AH194" s="126"/>
      <c r="AI194" s="122"/>
      <c r="AJ194" s="32"/>
      <c r="AK194" s="122"/>
      <c r="AL194" s="32"/>
      <c r="AM194" s="122"/>
      <c r="AN194" s="122"/>
      <c r="AO194" s="12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</row>
    <row r="195" spans="1:52" ht="15.75" customHeight="1">
      <c r="A195" s="122"/>
      <c r="B195" s="122"/>
      <c r="C195" s="122"/>
      <c r="D195" s="123"/>
      <c r="E195" s="123"/>
      <c r="F195" s="122"/>
      <c r="G195" s="122"/>
      <c r="H195" s="124"/>
      <c r="I195" s="122"/>
      <c r="J195" s="122"/>
      <c r="K195" s="122"/>
      <c r="L195" s="125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6"/>
      <c r="AE195" s="122"/>
      <c r="AF195" s="126"/>
      <c r="AG195" s="122"/>
      <c r="AH195" s="126"/>
      <c r="AI195" s="122"/>
      <c r="AJ195" s="32"/>
      <c r="AK195" s="122"/>
      <c r="AL195" s="32"/>
      <c r="AM195" s="122"/>
      <c r="AN195" s="122"/>
      <c r="AO195" s="12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</row>
    <row r="196" spans="1:52" ht="15.75" customHeight="1">
      <c r="A196" s="122"/>
      <c r="B196" s="122"/>
      <c r="C196" s="122"/>
      <c r="D196" s="123"/>
      <c r="E196" s="123"/>
      <c r="F196" s="122"/>
      <c r="G196" s="122"/>
      <c r="H196" s="124"/>
      <c r="I196" s="122"/>
      <c r="J196" s="122"/>
      <c r="K196" s="122"/>
      <c r="L196" s="125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6"/>
      <c r="AE196" s="122"/>
      <c r="AF196" s="126"/>
      <c r="AG196" s="122"/>
      <c r="AH196" s="126"/>
      <c r="AI196" s="122"/>
      <c r="AJ196" s="32"/>
      <c r="AK196" s="122"/>
      <c r="AL196" s="32"/>
      <c r="AM196" s="122"/>
      <c r="AN196" s="122"/>
      <c r="AO196" s="12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</row>
    <row r="197" spans="1:52" ht="15.75" customHeight="1">
      <c r="A197" s="122"/>
      <c r="B197" s="122"/>
      <c r="C197" s="122"/>
      <c r="D197" s="123"/>
      <c r="E197" s="123"/>
      <c r="F197" s="122"/>
      <c r="G197" s="122"/>
      <c r="H197" s="124"/>
      <c r="I197" s="122"/>
      <c r="J197" s="122"/>
      <c r="K197" s="122"/>
      <c r="L197" s="125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6"/>
      <c r="AE197" s="122"/>
      <c r="AF197" s="126"/>
      <c r="AG197" s="122"/>
      <c r="AH197" s="126"/>
      <c r="AI197" s="122"/>
      <c r="AJ197" s="32"/>
      <c r="AK197" s="122"/>
      <c r="AL197" s="32"/>
      <c r="AM197" s="122"/>
      <c r="AN197" s="122"/>
      <c r="AO197" s="12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</row>
    <row r="198" spans="1:52" ht="15.75" customHeight="1">
      <c r="A198" s="122"/>
      <c r="B198" s="122"/>
      <c r="C198" s="122"/>
      <c r="D198" s="123"/>
      <c r="E198" s="123"/>
      <c r="F198" s="122"/>
      <c r="G198" s="122"/>
      <c r="H198" s="124"/>
      <c r="I198" s="122"/>
      <c r="J198" s="122"/>
      <c r="K198" s="122"/>
      <c r="L198" s="125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6"/>
      <c r="AE198" s="122"/>
      <c r="AF198" s="126"/>
      <c r="AG198" s="122"/>
      <c r="AH198" s="126"/>
      <c r="AI198" s="122"/>
      <c r="AJ198" s="32"/>
      <c r="AK198" s="122"/>
      <c r="AL198" s="32"/>
      <c r="AM198" s="122"/>
      <c r="AN198" s="122"/>
      <c r="AO198" s="12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</row>
    <row r="199" spans="1:52" ht="15.75" customHeight="1">
      <c r="A199" s="122"/>
      <c r="B199" s="122"/>
      <c r="C199" s="122"/>
      <c r="D199" s="123"/>
      <c r="E199" s="123"/>
      <c r="F199" s="122"/>
      <c r="G199" s="122"/>
      <c r="H199" s="124"/>
      <c r="I199" s="122"/>
      <c r="J199" s="122"/>
      <c r="K199" s="122"/>
      <c r="L199" s="125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6"/>
      <c r="AE199" s="122"/>
      <c r="AF199" s="126"/>
      <c r="AG199" s="122"/>
      <c r="AH199" s="126"/>
      <c r="AI199" s="122"/>
      <c r="AJ199" s="32"/>
      <c r="AK199" s="122"/>
      <c r="AL199" s="32"/>
      <c r="AM199" s="122"/>
      <c r="AN199" s="122"/>
      <c r="AO199" s="12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</row>
    <row r="200" spans="1:52" ht="15.75" customHeight="1">
      <c r="A200" s="122"/>
      <c r="B200" s="122"/>
      <c r="C200" s="122"/>
      <c r="D200" s="123"/>
      <c r="E200" s="123"/>
      <c r="F200" s="122"/>
      <c r="G200" s="122"/>
      <c r="H200" s="124"/>
      <c r="I200" s="122"/>
      <c r="J200" s="122"/>
      <c r="K200" s="122"/>
      <c r="L200" s="125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6"/>
      <c r="AE200" s="122"/>
      <c r="AF200" s="126"/>
      <c r="AG200" s="122"/>
      <c r="AH200" s="126"/>
      <c r="AI200" s="122"/>
      <c r="AJ200" s="32"/>
      <c r="AK200" s="122"/>
      <c r="AL200" s="32"/>
      <c r="AM200" s="122"/>
      <c r="AN200" s="122"/>
      <c r="AO200" s="12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</row>
    <row r="201" spans="1:52" ht="15.75" customHeight="1">
      <c r="A201" s="122"/>
      <c r="B201" s="122"/>
      <c r="C201" s="122"/>
      <c r="D201" s="123"/>
      <c r="E201" s="123"/>
      <c r="F201" s="122"/>
      <c r="G201" s="122"/>
      <c r="H201" s="124"/>
      <c r="I201" s="122"/>
      <c r="J201" s="122"/>
      <c r="K201" s="122"/>
      <c r="L201" s="125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6"/>
      <c r="AE201" s="122"/>
      <c r="AF201" s="126"/>
      <c r="AG201" s="122"/>
      <c r="AH201" s="126"/>
      <c r="AI201" s="122"/>
      <c r="AJ201" s="32"/>
      <c r="AK201" s="122"/>
      <c r="AL201" s="32"/>
      <c r="AM201" s="122"/>
      <c r="AN201" s="122"/>
      <c r="AO201" s="12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</row>
    <row r="202" spans="1:52" ht="15.75" customHeight="1">
      <c r="A202" s="122"/>
      <c r="B202" s="122"/>
      <c r="C202" s="122"/>
      <c r="D202" s="123"/>
      <c r="E202" s="123"/>
      <c r="F202" s="122"/>
      <c r="G202" s="122"/>
      <c r="H202" s="124"/>
      <c r="I202" s="122"/>
      <c r="J202" s="122"/>
      <c r="K202" s="122"/>
      <c r="L202" s="125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6"/>
      <c r="AE202" s="122"/>
      <c r="AF202" s="126"/>
      <c r="AG202" s="122"/>
      <c r="AH202" s="126"/>
      <c r="AI202" s="122"/>
      <c r="AJ202" s="32"/>
      <c r="AK202" s="122"/>
      <c r="AL202" s="32"/>
      <c r="AM202" s="122"/>
      <c r="AN202" s="122"/>
      <c r="AO202" s="12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</row>
    <row r="203" spans="1:52" ht="15.75" customHeight="1">
      <c r="A203" s="122"/>
      <c r="B203" s="122"/>
      <c r="C203" s="122"/>
      <c r="D203" s="123"/>
      <c r="E203" s="123"/>
      <c r="F203" s="122"/>
      <c r="G203" s="122"/>
      <c r="H203" s="124"/>
      <c r="I203" s="122"/>
      <c r="J203" s="122"/>
      <c r="K203" s="122"/>
      <c r="L203" s="125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6"/>
      <c r="AE203" s="122"/>
      <c r="AF203" s="126"/>
      <c r="AG203" s="122"/>
      <c r="AH203" s="126"/>
      <c r="AI203" s="122"/>
      <c r="AJ203" s="32"/>
      <c r="AK203" s="122"/>
      <c r="AL203" s="32"/>
      <c r="AM203" s="122"/>
      <c r="AN203" s="122"/>
      <c r="AO203" s="12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</row>
    <row r="204" spans="1:52" ht="15.75" customHeight="1">
      <c r="A204" s="122"/>
      <c r="B204" s="122"/>
      <c r="C204" s="122"/>
      <c r="D204" s="123"/>
      <c r="E204" s="123"/>
      <c r="F204" s="122"/>
      <c r="G204" s="122"/>
      <c r="H204" s="124"/>
      <c r="I204" s="122"/>
      <c r="J204" s="122"/>
      <c r="K204" s="122"/>
      <c r="L204" s="125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6"/>
      <c r="AE204" s="122"/>
      <c r="AF204" s="126"/>
      <c r="AG204" s="122"/>
      <c r="AH204" s="126"/>
      <c r="AI204" s="122"/>
      <c r="AJ204" s="32"/>
      <c r="AK204" s="122"/>
      <c r="AL204" s="32"/>
      <c r="AM204" s="122"/>
      <c r="AN204" s="122"/>
      <c r="AO204" s="12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</row>
    <row r="205" spans="1:52" ht="15.75" customHeight="1">
      <c r="A205" s="122"/>
      <c r="B205" s="122"/>
      <c r="C205" s="122"/>
      <c r="D205" s="123"/>
      <c r="E205" s="123"/>
      <c r="F205" s="122"/>
      <c r="G205" s="122"/>
      <c r="H205" s="124"/>
      <c r="I205" s="122"/>
      <c r="J205" s="122"/>
      <c r="K205" s="122"/>
      <c r="L205" s="125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6"/>
      <c r="AE205" s="122"/>
      <c r="AF205" s="126"/>
      <c r="AG205" s="122"/>
      <c r="AH205" s="126"/>
      <c r="AI205" s="122"/>
      <c r="AJ205" s="32"/>
      <c r="AK205" s="122"/>
      <c r="AL205" s="32"/>
      <c r="AM205" s="122"/>
      <c r="AN205" s="122"/>
      <c r="AO205" s="12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</row>
    <row r="206" spans="1:52" ht="15.75" customHeight="1">
      <c r="A206" s="122"/>
      <c r="B206" s="122"/>
      <c r="C206" s="122"/>
      <c r="D206" s="123"/>
      <c r="E206" s="123"/>
      <c r="F206" s="122"/>
      <c r="G206" s="122"/>
      <c r="H206" s="124"/>
      <c r="I206" s="122"/>
      <c r="J206" s="122"/>
      <c r="K206" s="122"/>
      <c r="L206" s="125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6"/>
      <c r="AE206" s="122"/>
      <c r="AF206" s="126"/>
      <c r="AG206" s="122"/>
      <c r="AH206" s="126"/>
      <c r="AI206" s="122"/>
      <c r="AJ206" s="32"/>
      <c r="AK206" s="122"/>
      <c r="AL206" s="32"/>
      <c r="AM206" s="122"/>
      <c r="AN206" s="122"/>
      <c r="AO206" s="12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</row>
    <row r="207" spans="1:52" ht="15.75" customHeight="1">
      <c r="A207" s="122"/>
      <c r="B207" s="122"/>
      <c r="C207" s="122"/>
      <c r="D207" s="123"/>
      <c r="E207" s="123"/>
      <c r="F207" s="122"/>
      <c r="G207" s="122"/>
      <c r="H207" s="124"/>
      <c r="I207" s="122"/>
      <c r="J207" s="122"/>
      <c r="K207" s="122"/>
      <c r="L207" s="125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6"/>
      <c r="AE207" s="122"/>
      <c r="AF207" s="126"/>
      <c r="AG207" s="122"/>
      <c r="AH207" s="126"/>
      <c r="AI207" s="122"/>
      <c r="AJ207" s="32"/>
      <c r="AK207" s="122"/>
      <c r="AL207" s="32"/>
      <c r="AM207" s="122"/>
      <c r="AN207" s="122"/>
      <c r="AO207" s="12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</row>
    <row r="208" spans="1:52" ht="15.75" customHeight="1">
      <c r="A208" s="122"/>
      <c r="B208" s="122"/>
      <c r="C208" s="122"/>
      <c r="D208" s="123"/>
      <c r="E208" s="123"/>
      <c r="F208" s="122"/>
      <c r="G208" s="122"/>
      <c r="H208" s="124"/>
      <c r="I208" s="122"/>
      <c r="J208" s="122"/>
      <c r="K208" s="122"/>
      <c r="L208" s="125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6"/>
      <c r="AE208" s="122"/>
      <c r="AF208" s="126"/>
      <c r="AG208" s="122"/>
      <c r="AH208" s="126"/>
      <c r="AI208" s="122"/>
      <c r="AJ208" s="32"/>
      <c r="AK208" s="122"/>
      <c r="AL208" s="32"/>
      <c r="AM208" s="122"/>
      <c r="AN208" s="122"/>
      <c r="AO208" s="12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</row>
    <row r="209" spans="1:52" ht="15.75" customHeight="1">
      <c r="A209" s="122"/>
      <c r="B209" s="122"/>
      <c r="C209" s="122"/>
      <c r="D209" s="123"/>
      <c r="E209" s="123"/>
      <c r="F209" s="122"/>
      <c r="G209" s="122"/>
      <c r="H209" s="124"/>
      <c r="I209" s="122"/>
      <c r="J209" s="122"/>
      <c r="K209" s="122"/>
      <c r="L209" s="125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6"/>
      <c r="AE209" s="122"/>
      <c r="AF209" s="126"/>
      <c r="AG209" s="122"/>
      <c r="AH209" s="126"/>
      <c r="AI209" s="122"/>
      <c r="AJ209" s="32"/>
      <c r="AK209" s="122"/>
      <c r="AL209" s="32"/>
      <c r="AM209" s="122"/>
      <c r="AN209" s="122"/>
      <c r="AO209" s="12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</row>
    <row r="210" spans="1:52" ht="15.75" customHeight="1">
      <c r="A210" s="122"/>
      <c r="B210" s="122"/>
      <c r="C210" s="122"/>
      <c r="D210" s="123"/>
      <c r="E210" s="123"/>
      <c r="F210" s="122"/>
      <c r="G210" s="122"/>
      <c r="H210" s="124"/>
      <c r="I210" s="122"/>
      <c r="J210" s="122"/>
      <c r="K210" s="122"/>
      <c r="L210" s="125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6"/>
      <c r="AE210" s="122"/>
      <c r="AF210" s="126"/>
      <c r="AG210" s="122"/>
      <c r="AH210" s="126"/>
      <c r="AI210" s="122"/>
      <c r="AJ210" s="32"/>
      <c r="AK210" s="122"/>
      <c r="AL210" s="32"/>
      <c r="AM210" s="122"/>
      <c r="AN210" s="122"/>
      <c r="AO210" s="12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</row>
    <row r="211" spans="1:52" ht="15.75" customHeight="1">
      <c r="A211" s="122"/>
      <c r="B211" s="122"/>
      <c r="C211" s="122"/>
      <c r="D211" s="123"/>
      <c r="E211" s="123"/>
      <c r="F211" s="122"/>
      <c r="G211" s="122"/>
      <c r="H211" s="124"/>
      <c r="I211" s="122"/>
      <c r="J211" s="122"/>
      <c r="K211" s="122"/>
      <c r="L211" s="125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6"/>
      <c r="AE211" s="122"/>
      <c r="AF211" s="126"/>
      <c r="AG211" s="122"/>
      <c r="AH211" s="126"/>
      <c r="AI211" s="122"/>
      <c r="AJ211" s="32"/>
      <c r="AK211" s="122"/>
      <c r="AL211" s="32"/>
      <c r="AM211" s="122"/>
      <c r="AN211" s="122"/>
      <c r="AO211" s="12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</row>
    <row r="212" spans="1:52" ht="15.75" customHeight="1">
      <c r="A212" s="122"/>
      <c r="B212" s="122"/>
      <c r="C212" s="122"/>
      <c r="D212" s="123"/>
      <c r="E212" s="123"/>
      <c r="F212" s="122"/>
      <c r="G212" s="122"/>
      <c r="H212" s="124"/>
      <c r="I212" s="122"/>
      <c r="J212" s="122"/>
      <c r="K212" s="122"/>
      <c r="L212" s="125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6"/>
      <c r="AE212" s="122"/>
      <c r="AF212" s="126"/>
      <c r="AG212" s="122"/>
      <c r="AH212" s="126"/>
      <c r="AI212" s="122"/>
      <c r="AJ212" s="32"/>
      <c r="AK212" s="122"/>
      <c r="AL212" s="32"/>
      <c r="AM212" s="122"/>
      <c r="AN212" s="122"/>
      <c r="AO212" s="12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</row>
    <row r="213" spans="1:52" ht="15.75" customHeight="1">
      <c r="A213" s="122"/>
      <c r="B213" s="122"/>
      <c r="C213" s="122"/>
      <c r="D213" s="123"/>
      <c r="E213" s="123"/>
      <c r="F213" s="122"/>
      <c r="G213" s="122"/>
      <c r="H213" s="124"/>
      <c r="I213" s="122"/>
      <c r="J213" s="122"/>
      <c r="K213" s="122"/>
      <c r="L213" s="125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6"/>
      <c r="AE213" s="122"/>
      <c r="AF213" s="126"/>
      <c r="AG213" s="122"/>
      <c r="AH213" s="126"/>
      <c r="AI213" s="122"/>
      <c r="AJ213" s="32"/>
      <c r="AK213" s="122"/>
      <c r="AL213" s="32"/>
      <c r="AM213" s="122"/>
      <c r="AN213" s="122"/>
      <c r="AO213" s="12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</row>
    <row r="214" spans="1:52" ht="15.75" customHeight="1">
      <c r="A214" s="122"/>
      <c r="B214" s="122"/>
      <c r="C214" s="122"/>
      <c r="D214" s="123"/>
      <c r="E214" s="123"/>
      <c r="F214" s="122"/>
      <c r="G214" s="122"/>
      <c r="H214" s="124"/>
      <c r="I214" s="122"/>
      <c r="J214" s="122"/>
      <c r="K214" s="122"/>
      <c r="L214" s="125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6"/>
      <c r="AE214" s="122"/>
      <c r="AF214" s="126"/>
      <c r="AG214" s="122"/>
      <c r="AH214" s="126"/>
      <c r="AI214" s="122"/>
      <c r="AJ214" s="32"/>
      <c r="AK214" s="122"/>
      <c r="AL214" s="32"/>
      <c r="AM214" s="122"/>
      <c r="AN214" s="122"/>
      <c r="AO214" s="12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</row>
    <row r="215" spans="1:52" ht="15.75" customHeight="1">
      <c r="A215" s="122"/>
      <c r="B215" s="122"/>
      <c r="C215" s="122"/>
      <c r="D215" s="123"/>
      <c r="E215" s="123"/>
      <c r="F215" s="122"/>
      <c r="G215" s="122"/>
      <c r="H215" s="124"/>
      <c r="I215" s="122"/>
      <c r="J215" s="122"/>
      <c r="K215" s="122"/>
      <c r="L215" s="125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6"/>
      <c r="AE215" s="122"/>
      <c r="AF215" s="126"/>
      <c r="AG215" s="122"/>
      <c r="AH215" s="126"/>
      <c r="AI215" s="122"/>
      <c r="AJ215" s="32"/>
      <c r="AK215" s="122"/>
      <c r="AL215" s="32"/>
      <c r="AM215" s="122"/>
      <c r="AN215" s="122"/>
      <c r="AO215" s="12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</row>
    <row r="216" spans="1:52" ht="15.75" customHeight="1">
      <c r="A216" s="122"/>
      <c r="B216" s="122"/>
      <c r="C216" s="122"/>
      <c r="D216" s="123"/>
      <c r="E216" s="123"/>
      <c r="F216" s="122"/>
      <c r="G216" s="122"/>
      <c r="H216" s="124"/>
      <c r="I216" s="122"/>
      <c r="J216" s="122"/>
      <c r="K216" s="122"/>
      <c r="L216" s="125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6"/>
      <c r="AE216" s="122"/>
      <c r="AF216" s="126"/>
      <c r="AG216" s="122"/>
      <c r="AH216" s="126"/>
      <c r="AI216" s="122"/>
      <c r="AJ216" s="32"/>
      <c r="AK216" s="122"/>
      <c r="AL216" s="32"/>
      <c r="AM216" s="122"/>
      <c r="AN216" s="122"/>
      <c r="AO216" s="12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</row>
    <row r="217" spans="1:52" ht="15.75" customHeight="1">
      <c r="A217" s="122"/>
      <c r="B217" s="122"/>
      <c r="C217" s="122"/>
      <c r="D217" s="123"/>
      <c r="E217" s="123"/>
      <c r="F217" s="122"/>
      <c r="G217" s="122"/>
      <c r="H217" s="124"/>
      <c r="I217" s="122"/>
      <c r="J217" s="122"/>
      <c r="K217" s="122"/>
      <c r="L217" s="125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6"/>
      <c r="AE217" s="122"/>
      <c r="AF217" s="126"/>
      <c r="AG217" s="122"/>
      <c r="AH217" s="126"/>
      <c r="AI217" s="122"/>
      <c r="AJ217" s="32"/>
      <c r="AK217" s="122"/>
      <c r="AL217" s="32"/>
      <c r="AM217" s="122"/>
      <c r="AN217" s="122"/>
      <c r="AO217" s="12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</row>
    <row r="218" spans="1:52" ht="15.75" customHeight="1">
      <c r="A218" s="122"/>
      <c r="B218" s="122"/>
      <c r="C218" s="122"/>
      <c r="D218" s="123"/>
      <c r="E218" s="123"/>
      <c r="F218" s="122"/>
      <c r="G218" s="122"/>
      <c r="H218" s="124"/>
      <c r="I218" s="122"/>
      <c r="J218" s="122"/>
      <c r="K218" s="122"/>
      <c r="L218" s="125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6"/>
      <c r="AE218" s="122"/>
      <c r="AF218" s="126"/>
      <c r="AG218" s="122"/>
      <c r="AH218" s="126"/>
      <c r="AI218" s="122"/>
      <c r="AJ218" s="32"/>
      <c r="AK218" s="122"/>
      <c r="AL218" s="32"/>
      <c r="AM218" s="122"/>
      <c r="AN218" s="122"/>
      <c r="AO218" s="12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</row>
    <row r="219" spans="1:52" ht="15.75" customHeight="1">
      <c r="A219" s="122"/>
      <c r="B219" s="122"/>
      <c r="C219" s="122"/>
      <c r="D219" s="123"/>
      <c r="E219" s="123"/>
      <c r="F219" s="122"/>
      <c r="G219" s="122"/>
      <c r="H219" s="124"/>
      <c r="I219" s="122"/>
      <c r="J219" s="122"/>
      <c r="K219" s="122"/>
      <c r="L219" s="125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6"/>
      <c r="AE219" s="122"/>
      <c r="AF219" s="126"/>
      <c r="AG219" s="122"/>
      <c r="AH219" s="126"/>
      <c r="AI219" s="122"/>
      <c r="AJ219" s="32"/>
      <c r="AK219" s="122"/>
      <c r="AL219" s="32"/>
      <c r="AM219" s="122"/>
      <c r="AN219" s="122"/>
      <c r="AO219" s="12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</row>
    <row r="220" spans="1:52" ht="15.75" customHeight="1">
      <c r="A220" s="122"/>
      <c r="B220" s="122"/>
      <c r="C220" s="122"/>
      <c r="D220" s="123"/>
      <c r="E220" s="123"/>
      <c r="F220" s="122"/>
      <c r="G220" s="122"/>
      <c r="H220" s="124"/>
      <c r="I220" s="122"/>
      <c r="J220" s="122"/>
      <c r="K220" s="122"/>
      <c r="L220" s="125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6"/>
      <c r="AE220" s="122"/>
      <c r="AF220" s="126"/>
      <c r="AG220" s="122"/>
      <c r="AH220" s="126"/>
      <c r="AI220" s="122"/>
      <c r="AJ220" s="32"/>
      <c r="AK220" s="122"/>
      <c r="AL220" s="32"/>
      <c r="AM220" s="122"/>
      <c r="AN220" s="122"/>
      <c r="AO220" s="12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</row>
    <row r="221" spans="1:52" ht="15.75" customHeight="1">
      <c r="A221" s="122"/>
      <c r="B221" s="122"/>
      <c r="C221" s="122"/>
      <c r="D221" s="123"/>
      <c r="E221" s="123"/>
      <c r="F221" s="122"/>
      <c r="G221" s="122"/>
      <c r="H221" s="124"/>
      <c r="I221" s="122"/>
      <c r="J221" s="122"/>
      <c r="K221" s="122"/>
      <c r="L221" s="125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6"/>
      <c r="AE221" s="122"/>
      <c r="AF221" s="126"/>
      <c r="AG221" s="122"/>
      <c r="AH221" s="126"/>
      <c r="AI221" s="122"/>
      <c r="AJ221" s="32"/>
      <c r="AK221" s="122"/>
      <c r="AL221" s="32"/>
      <c r="AM221" s="122"/>
      <c r="AN221" s="122"/>
      <c r="AO221" s="12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</row>
    <row r="222" spans="1:52" ht="15.75" customHeight="1">
      <c r="A222" s="122"/>
      <c r="B222" s="122"/>
      <c r="C222" s="122"/>
      <c r="D222" s="123"/>
      <c r="E222" s="123"/>
      <c r="F222" s="122"/>
      <c r="G222" s="122"/>
      <c r="H222" s="124"/>
      <c r="I222" s="122"/>
      <c r="J222" s="122"/>
      <c r="K222" s="122"/>
      <c r="L222" s="125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6"/>
      <c r="AE222" s="122"/>
      <c r="AF222" s="126"/>
      <c r="AG222" s="122"/>
      <c r="AH222" s="126"/>
      <c r="AI222" s="122"/>
      <c r="AJ222" s="32"/>
      <c r="AK222" s="122"/>
      <c r="AL222" s="32"/>
      <c r="AM222" s="122"/>
      <c r="AN222" s="122"/>
      <c r="AO222" s="12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</row>
    <row r="223" spans="1:52" ht="15.75" customHeight="1">
      <c r="A223" s="122"/>
      <c r="B223" s="122"/>
      <c r="C223" s="122"/>
      <c r="D223" s="123"/>
      <c r="E223" s="123"/>
      <c r="F223" s="122"/>
      <c r="G223" s="122"/>
      <c r="H223" s="124"/>
      <c r="I223" s="122"/>
      <c r="J223" s="122"/>
      <c r="K223" s="122"/>
      <c r="L223" s="125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6"/>
      <c r="AE223" s="122"/>
      <c r="AF223" s="126"/>
      <c r="AG223" s="122"/>
      <c r="AH223" s="126"/>
      <c r="AI223" s="122"/>
      <c r="AJ223" s="32"/>
      <c r="AK223" s="122"/>
      <c r="AL223" s="32"/>
      <c r="AM223" s="122"/>
      <c r="AN223" s="122"/>
      <c r="AO223" s="12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</row>
    <row r="224" spans="1:52" ht="15.75" customHeight="1">
      <c r="A224" s="122"/>
      <c r="B224" s="122"/>
      <c r="C224" s="122"/>
      <c r="D224" s="123"/>
      <c r="E224" s="123"/>
      <c r="F224" s="122"/>
      <c r="G224" s="122"/>
      <c r="H224" s="124"/>
      <c r="I224" s="122"/>
      <c r="J224" s="122"/>
      <c r="K224" s="122"/>
      <c r="L224" s="125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6"/>
      <c r="AE224" s="122"/>
      <c r="AF224" s="126"/>
      <c r="AG224" s="122"/>
      <c r="AH224" s="126"/>
      <c r="AI224" s="122"/>
      <c r="AJ224" s="32"/>
      <c r="AK224" s="122"/>
      <c r="AL224" s="32"/>
      <c r="AM224" s="122"/>
      <c r="AN224" s="122"/>
      <c r="AO224" s="12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</row>
    <row r="225" spans="1:52" ht="15.75" customHeight="1">
      <c r="A225" s="122"/>
      <c r="B225" s="122"/>
      <c r="C225" s="122"/>
      <c r="D225" s="123"/>
      <c r="E225" s="123"/>
      <c r="F225" s="122"/>
      <c r="G225" s="122"/>
      <c r="H225" s="124"/>
      <c r="I225" s="122"/>
      <c r="J225" s="122"/>
      <c r="K225" s="122"/>
      <c r="L225" s="125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6"/>
      <c r="AE225" s="122"/>
      <c r="AF225" s="126"/>
      <c r="AG225" s="122"/>
      <c r="AH225" s="126"/>
      <c r="AI225" s="122"/>
      <c r="AJ225" s="32"/>
      <c r="AK225" s="122"/>
      <c r="AL225" s="32"/>
      <c r="AM225" s="122"/>
      <c r="AN225" s="122"/>
      <c r="AO225" s="12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</row>
    <row r="226" spans="1:52" ht="15.75" customHeight="1">
      <c r="A226" s="122"/>
      <c r="B226" s="122"/>
      <c r="C226" s="122"/>
      <c r="D226" s="123"/>
      <c r="E226" s="123"/>
      <c r="F226" s="122"/>
      <c r="G226" s="122"/>
      <c r="H226" s="124"/>
      <c r="I226" s="122"/>
      <c r="J226" s="122"/>
      <c r="K226" s="122"/>
      <c r="L226" s="125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6"/>
      <c r="AE226" s="122"/>
      <c r="AF226" s="126"/>
      <c r="AG226" s="122"/>
      <c r="AH226" s="126"/>
      <c r="AI226" s="122"/>
      <c r="AJ226" s="32"/>
      <c r="AK226" s="122"/>
      <c r="AL226" s="32"/>
      <c r="AM226" s="122"/>
      <c r="AN226" s="122"/>
      <c r="AO226" s="12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</row>
    <row r="227" spans="1:52" ht="15.75" customHeight="1">
      <c r="A227" s="122"/>
      <c r="B227" s="122"/>
      <c r="C227" s="122"/>
      <c r="D227" s="123"/>
      <c r="E227" s="123"/>
      <c r="F227" s="122"/>
      <c r="G227" s="122"/>
      <c r="H227" s="124"/>
      <c r="I227" s="122"/>
      <c r="J227" s="122"/>
      <c r="K227" s="122"/>
      <c r="L227" s="125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6"/>
      <c r="AE227" s="122"/>
      <c r="AF227" s="126"/>
      <c r="AG227" s="122"/>
      <c r="AH227" s="126"/>
      <c r="AI227" s="122"/>
      <c r="AJ227" s="32"/>
      <c r="AK227" s="122"/>
      <c r="AL227" s="32"/>
      <c r="AM227" s="122"/>
      <c r="AN227" s="122"/>
      <c r="AO227" s="12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</row>
    <row r="228" spans="1:52" ht="15.75" customHeight="1">
      <c r="A228" s="122"/>
      <c r="B228" s="122"/>
      <c r="C228" s="122"/>
      <c r="D228" s="123"/>
      <c r="E228" s="123"/>
      <c r="F228" s="122"/>
      <c r="G228" s="122"/>
      <c r="H228" s="124"/>
      <c r="I228" s="122"/>
      <c r="J228" s="122"/>
      <c r="K228" s="122"/>
      <c r="L228" s="125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6"/>
      <c r="AE228" s="122"/>
      <c r="AF228" s="126"/>
      <c r="AG228" s="122"/>
      <c r="AH228" s="126"/>
      <c r="AI228" s="122"/>
      <c r="AJ228" s="32"/>
      <c r="AK228" s="122"/>
      <c r="AL228" s="32"/>
      <c r="AM228" s="122"/>
      <c r="AN228" s="122"/>
      <c r="AO228" s="12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</row>
    <row r="229" spans="1:52" ht="15.75" customHeight="1">
      <c r="A229" s="122"/>
      <c r="B229" s="122"/>
      <c r="C229" s="122"/>
      <c r="D229" s="123"/>
      <c r="E229" s="123"/>
      <c r="F229" s="122"/>
      <c r="G229" s="122"/>
      <c r="H229" s="124"/>
      <c r="I229" s="122"/>
      <c r="J229" s="122"/>
      <c r="K229" s="122"/>
      <c r="L229" s="125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6"/>
      <c r="AE229" s="122"/>
      <c r="AF229" s="126"/>
      <c r="AG229" s="122"/>
      <c r="AH229" s="126"/>
      <c r="AI229" s="122"/>
      <c r="AJ229" s="32"/>
      <c r="AK229" s="122"/>
      <c r="AL229" s="32"/>
      <c r="AM229" s="122"/>
      <c r="AN229" s="122"/>
      <c r="AO229" s="12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</row>
    <row r="230" spans="1:52" ht="15.75" customHeight="1">
      <c r="A230" s="122"/>
      <c r="B230" s="122"/>
      <c r="C230" s="122"/>
      <c r="D230" s="123"/>
      <c r="E230" s="123"/>
      <c r="F230" s="122"/>
      <c r="G230" s="122"/>
      <c r="H230" s="124"/>
      <c r="I230" s="122"/>
      <c r="J230" s="122"/>
      <c r="K230" s="122"/>
      <c r="L230" s="125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6"/>
      <c r="AE230" s="122"/>
      <c r="AF230" s="126"/>
      <c r="AG230" s="122"/>
      <c r="AH230" s="126"/>
      <c r="AI230" s="122"/>
      <c r="AJ230" s="32"/>
      <c r="AK230" s="122"/>
      <c r="AL230" s="32"/>
      <c r="AM230" s="122"/>
      <c r="AN230" s="122"/>
      <c r="AO230" s="12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</row>
    <row r="231" spans="1:52" ht="15.75" customHeight="1">
      <c r="A231" s="122"/>
      <c r="B231" s="122"/>
      <c r="C231" s="122"/>
      <c r="D231" s="123"/>
      <c r="E231" s="123"/>
      <c r="F231" s="122"/>
      <c r="G231" s="122"/>
      <c r="H231" s="124"/>
      <c r="I231" s="122"/>
      <c r="J231" s="122"/>
      <c r="K231" s="122"/>
      <c r="L231" s="125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6"/>
      <c r="AE231" s="122"/>
      <c r="AF231" s="126"/>
      <c r="AG231" s="122"/>
      <c r="AH231" s="126"/>
      <c r="AI231" s="122"/>
      <c r="AJ231" s="32"/>
      <c r="AK231" s="122"/>
      <c r="AL231" s="32"/>
      <c r="AM231" s="122"/>
      <c r="AN231" s="122"/>
      <c r="AO231" s="12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</row>
    <row r="232" spans="1:52" ht="15.75" customHeight="1">
      <c r="A232" s="122"/>
      <c r="B232" s="122"/>
      <c r="C232" s="122"/>
      <c r="D232" s="123"/>
      <c r="E232" s="123"/>
      <c r="F232" s="122"/>
      <c r="G232" s="122"/>
      <c r="H232" s="124"/>
      <c r="I232" s="122"/>
      <c r="J232" s="122"/>
      <c r="K232" s="122"/>
      <c r="L232" s="125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6"/>
      <c r="AE232" s="122"/>
      <c r="AF232" s="126"/>
      <c r="AG232" s="122"/>
      <c r="AH232" s="126"/>
      <c r="AI232" s="122"/>
      <c r="AJ232" s="32"/>
      <c r="AK232" s="122"/>
      <c r="AL232" s="32"/>
      <c r="AM232" s="122"/>
      <c r="AN232" s="122"/>
      <c r="AO232" s="12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</row>
    <row r="233" spans="1:52" ht="15.75" customHeight="1">
      <c r="A233" s="122"/>
      <c r="B233" s="122"/>
      <c r="C233" s="122"/>
      <c r="D233" s="123"/>
      <c r="E233" s="123"/>
      <c r="F233" s="122"/>
      <c r="G233" s="122"/>
      <c r="H233" s="124"/>
      <c r="I233" s="122"/>
      <c r="J233" s="122"/>
      <c r="K233" s="122"/>
      <c r="L233" s="125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6"/>
      <c r="AE233" s="122"/>
      <c r="AF233" s="126"/>
      <c r="AG233" s="122"/>
      <c r="AH233" s="126"/>
      <c r="AI233" s="122"/>
      <c r="AJ233" s="32"/>
      <c r="AK233" s="122"/>
      <c r="AL233" s="32"/>
      <c r="AM233" s="122"/>
      <c r="AN233" s="122"/>
      <c r="AO233" s="12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</row>
    <row r="234" spans="1:52" ht="15.75" customHeight="1">
      <c r="A234" s="122"/>
      <c r="B234" s="122"/>
      <c r="C234" s="122"/>
      <c r="D234" s="123"/>
      <c r="E234" s="123"/>
      <c r="F234" s="122"/>
      <c r="G234" s="122"/>
      <c r="H234" s="124"/>
      <c r="I234" s="122"/>
      <c r="J234" s="122"/>
      <c r="K234" s="122"/>
      <c r="L234" s="125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6"/>
      <c r="AE234" s="122"/>
      <c r="AF234" s="126"/>
      <c r="AG234" s="122"/>
      <c r="AH234" s="126"/>
      <c r="AI234" s="122"/>
      <c r="AJ234" s="32"/>
      <c r="AK234" s="122"/>
      <c r="AL234" s="32"/>
      <c r="AM234" s="122"/>
      <c r="AN234" s="122"/>
      <c r="AO234" s="12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</row>
    <row r="235" spans="1:52" ht="15.75" customHeight="1">
      <c r="A235" s="122"/>
      <c r="B235" s="122"/>
      <c r="C235" s="122"/>
      <c r="D235" s="123"/>
      <c r="E235" s="123"/>
      <c r="F235" s="122"/>
      <c r="G235" s="122"/>
      <c r="H235" s="124"/>
      <c r="I235" s="122"/>
      <c r="J235" s="122"/>
      <c r="K235" s="122"/>
      <c r="L235" s="125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6"/>
      <c r="AE235" s="122"/>
      <c r="AF235" s="126"/>
      <c r="AG235" s="122"/>
      <c r="AH235" s="126"/>
      <c r="AI235" s="122"/>
      <c r="AJ235" s="32"/>
      <c r="AK235" s="122"/>
      <c r="AL235" s="32"/>
      <c r="AM235" s="122"/>
      <c r="AN235" s="122"/>
      <c r="AO235" s="12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</row>
    <row r="236" spans="1:52" ht="15.75" customHeight="1">
      <c r="A236" s="122"/>
      <c r="B236" s="122"/>
      <c r="C236" s="122"/>
      <c r="D236" s="123"/>
      <c r="E236" s="123"/>
      <c r="F236" s="122"/>
      <c r="G236" s="122"/>
      <c r="H236" s="124"/>
      <c r="I236" s="122"/>
      <c r="J236" s="122"/>
      <c r="K236" s="122"/>
      <c r="L236" s="125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6"/>
      <c r="AE236" s="122"/>
      <c r="AF236" s="126"/>
      <c r="AG236" s="122"/>
      <c r="AH236" s="126"/>
      <c r="AI236" s="122"/>
      <c r="AJ236" s="32"/>
      <c r="AK236" s="122"/>
      <c r="AL236" s="32"/>
      <c r="AM236" s="122"/>
      <c r="AN236" s="122"/>
      <c r="AO236" s="12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</row>
    <row r="237" spans="1:52" ht="15.75" customHeight="1">
      <c r="A237" s="122"/>
      <c r="B237" s="122"/>
      <c r="C237" s="122"/>
      <c r="D237" s="123"/>
      <c r="E237" s="123"/>
      <c r="F237" s="122"/>
      <c r="G237" s="122"/>
      <c r="H237" s="124"/>
      <c r="I237" s="122"/>
      <c r="J237" s="122"/>
      <c r="K237" s="122"/>
      <c r="L237" s="125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6"/>
      <c r="AE237" s="122"/>
      <c r="AF237" s="126"/>
      <c r="AG237" s="122"/>
      <c r="AH237" s="126"/>
      <c r="AI237" s="122"/>
      <c r="AJ237" s="32"/>
      <c r="AK237" s="122"/>
      <c r="AL237" s="32"/>
      <c r="AM237" s="122"/>
      <c r="AN237" s="122"/>
      <c r="AO237" s="12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</row>
    <row r="238" spans="1:52" ht="15.75" customHeight="1">
      <c r="A238" s="122"/>
      <c r="B238" s="122"/>
      <c r="C238" s="122"/>
      <c r="D238" s="123"/>
      <c r="E238" s="123"/>
      <c r="F238" s="122"/>
      <c r="G238" s="122"/>
      <c r="H238" s="124"/>
      <c r="I238" s="122"/>
      <c r="J238" s="122"/>
      <c r="K238" s="122"/>
      <c r="L238" s="125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6"/>
      <c r="AE238" s="122"/>
      <c r="AF238" s="126"/>
      <c r="AG238" s="122"/>
      <c r="AH238" s="126"/>
      <c r="AI238" s="122"/>
      <c r="AJ238" s="32"/>
      <c r="AK238" s="122"/>
      <c r="AL238" s="32"/>
      <c r="AM238" s="122"/>
      <c r="AN238" s="122"/>
      <c r="AO238" s="12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</row>
    <row r="239" spans="1:52" ht="15.75" customHeight="1">
      <c r="A239" s="122"/>
      <c r="B239" s="122"/>
      <c r="C239" s="122"/>
      <c r="D239" s="123"/>
      <c r="E239" s="123"/>
      <c r="F239" s="122"/>
      <c r="G239" s="122"/>
      <c r="H239" s="124"/>
      <c r="I239" s="122"/>
      <c r="J239" s="122"/>
      <c r="K239" s="122"/>
      <c r="L239" s="125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6"/>
      <c r="AE239" s="122"/>
      <c r="AF239" s="126"/>
      <c r="AG239" s="122"/>
      <c r="AH239" s="126"/>
      <c r="AI239" s="122"/>
      <c r="AJ239" s="32"/>
      <c r="AK239" s="122"/>
      <c r="AL239" s="32"/>
      <c r="AM239" s="122"/>
      <c r="AN239" s="122"/>
      <c r="AO239" s="12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</row>
    <row r="240" spans="1:52" ht="15.75" customHeight="1">
      <c r="A240" s="122"/>
      <c r="B240" s="122"/>
      <c r="C240" s="122"/>
      <c r="D240" s="123"/>
      <c r="E240" s="123"/>
      <c r="F240" s="122"/>
      <c r="G240" s="122"/>
      <c r="H240" s="124"/>
      <c r="I240" s="122"/>
      <c r="J240" s="122"/>
      <c r="K240" s="122"/>
      <c r="L240" s="125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6"/>
      <c r="AE240" s="122"/>
      <c r="AF240" s="126"/>
      <c r="AG240" s="122"/>
      <c r="AH240" s="126"/>
      <c r="AI240" s="122"/>
      <c r="AJ240" s="32"/>
      <c r="AK240" s="122"/>
      <c r="AL240" s="32"/>
      <c r="AM240" s="122"/>
      <c r="AN240" s="122"/>
      <c r="AO240" s="12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</row>
    <row r="241" spans="1:52" ht="15.75" customHeight="1">
      <c r="A241" s="122"/>
      <c r="B241" s="122"/>
      <c r="C241" s="122"/>
      <c r="D241" s="123"/>
      <c r="E241" s="123"/>
      <c r="F241" s="122"/>
      <c r="G241" s="122"/>
      <c r="H241" s="124"/>
      <c r="I241" s="122"/>
      <c r="J241" s="122"/>
      <c r="K241" s="122"/>
      <c r="L241" s="125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6"/>
      <c r="AE241" s="122"/>
      <c r="AF241" s="126"/>
      <c r="AG241" s="122"/>
      <c r="AH241" s="126"/>
      <c r="AI241" s="122"/>
      <c r="AJ241" s="32"/>
      <c r="AK241" s="122"/>
      <c r="AL241" s="32"/>
      <c r="AM241" s="122"/>
      <c r="AN241" s="122"/>
      <c r="AO241" s="12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</row>
    <row r="242" spans="1:52" ht="15.75" customHeight="1">
      <c r="A242" s="122"/>
      <c r="B242" s="122"/>
      <c r="C242" s="122"/>
      <c r="D242" s="123"/>
      <c r="E242" s="123"/>
      <c r="F242" s="122"/>
      <c r="G242" s="122"/>
      <c r="H242" s="124"/>
      <c r="I242" s="122"/>
      <c r="J242" s="122"/>
      <c r="K242" s="122"/>
      <c r="L242" s="125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6"/>
      <c r="AE242" s="122"/>
      <c r="AF242" s="126"/>
      <c r="AG242" s="122"/>
      <c r="AH242" s="126"/>
      <c r="AI242" s="122"/>
      <c r="AJ242" s="32"/>
      <c r="AK242" s="122"/>
      <c r="AL242" s="32"/>
      <c r="AM242" s="122"/>
      <c r="AN242" s="122"/>
      <c r="AO242" s="12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</row>
    <row r="243" spans="1:52" ht="15.75" customHeight="1">
      <c r="A243" s="122"/>
      <c r="B243" s="122"/>
      <c r="C243" s="122"/>
      <c r="D243" s="123"/>
      <c r="E243" s="123"/>
      <c r="F243" s="122"/>
      <c r="G243" s="122"/>
      <c r="H243" s="124"/>
      <c r="I243" s="122"/>
      <c r="J243" s="122"/>
      <c r="K243" s="122"/>
      <c r="L243" s="125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6"/>
      <c r="AE243" s="122"/>
      <c r="AF243" s="126"/>
      <c r="AG243" s="122"/>
      <c r="AH243" s="126"/>
      <c r="AI243" s="122"/>
      <c r="AJ243" s="32"/>
      <c r="AK243" s="122"/>
      <c r="AL243" s="32"/>
      <c r="AM243" s="122"/>
      <c r="AN243" s="122"/>
      <c r="AO243" s="12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</row>
    <row r="244" spans="1:52" ht="15.75" customHeight="1">
      <c r="A244" s="122"/>
      <c r="B244" s="122"/>
      <c r="C244" s="122"/>
      <c r="D244" s="123"/>
      <c r="E244" s="123"/>
      <c r="F244" s="122"/>
      <c r="G244" s="122"/>
      <c r="H244" s="124"/>
      <c r="I244" s="122"/>
      <c r="J244" s="122"/>
      <c r="K244" s="122"/>
      <c r="L244" s="125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6"/>
      <c r="AE244" s="122"/>
      <c r="AF244" s="126"/>
      <c r="AG244" s="122"/>
      <c r="AH244" s="126"/>
      <c r="AI244" s="122"/>
      <c r="AJ244" s="32"/>
      <c r="AK244" s="122"/>
      <c r="AL244" s="32"/>
      <c r="AM244" s="122"/>
      <c r="AN244" s="122"/>
      <c r="AO244" s="12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</row>
    <row r="245" spans="1:52" ht="15.75" customHeight="1">
      <c r="A245" s="122"/>
      <c r="B245" s="122"/>
      <c r="C245" s="122"/>
      <c r="D245" s="123"/>
      <c r="E245" s="123"/>
      <c r="F245" s="122"/>
      <c r="G245" s="122"/>
      <c r="H245" s="124"/>
      <c r="I245" s="122"/>
      <c r="J245" s="122"/>
      <c r="K245" s="122"/>
      <c r="L245" s="125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6"/>
      <c r="AE245" s="122"/>
      <c r="AF245" s="126"/>
      <c r="AG245" s="122"/>
      <c r="AH245" s="126"/>
      <c r="AI245" s="122"/>
      <c r="AJ245" s="32"/>
      <c r="AK245" s="122"/>
      <c r="AL245" s="32"/>
      <c r="AM245" s="122"/>
      <c r="AN245" s="122"/>
      <c r="AO245" s="12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</row>
    <row r="246" spans="1:52" ht="15.75" customHeight="1">
      <c r="A246" s="122"/>
      <c r="B246" s="122"/>
      <c r="C246" s="122"/>
      <c r="D246" s="123"/>
      <c r="E246" s="123"/>
      <c r="F246" s="122"/>
      <c r="G246" s="122"/>
      <c r="H246" s="124"/>
      <c r="I246" s="122"/>
      <c r="J246" s="122"/>
      <c r="K246" s="122"/>
      <c r="L246" s="125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6"/>
      <c r="AE246" s="122"/>
      <c r="AF246" s="126"/>
      <c r="AG246" s="122"/>
      <c r="AH246" s="126"/>
      <c r="AI246" s="122"/>
      <c r="AJ246" s="32"/>
      <c r="AK246" s="122"/>
      <c r="AL246" s="32"/>
      <c r="AM246" s="122"/>
      <c r="AN246" s="122"/>
      <c r="AO246" s="12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</row>
    <row r="247" spans="1:52" ht="15.75" customHeight="1">
      <c r="A247" s="122"/>
      <c r="B247" s="122"/>
      <c r="C247" s="122"/>
      <c r="D247" s="123"/>
      <c r="E247" s="123"/>
      <c r="F247" s="122"/>
      <c r="G247" s="122"/>
      <c r="H247" s="124"/>
      <c r="I247" s="122"/>
      <c r="J247" s="122"/>
      <c r="K247" s="122"/>
      <c r="L247" s="125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6"/>
      <c r="AE247" s="122"/>
      <c r="AF247" s="126"/>
      <c r="AG247" s="122"/>
      <c r="AH247" s="126"/>
      <c r="AI247" s="122"/>
      <c r="AJ247" s="32"/>
      <c r="AK247" s="122"/>
      <c r="AL247" s="32"/>
      <c r="AM247" s="122"/>
      <c r="AN247" s="122"/>
      <c r="AO247" s="12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</row>
    <row r="248" spans="1:52" ht="15.75" customHeight="1">
      <c r="A248" s="122"/>
      <c r="B248" s="122"/>
      <c r="C248" s="122"/>
      <c r="D248" s="123"/>
      <c r="E248" s="123"/>
      <c r="F248" s="122"/>
      <c r="G248" s="122"/>
      <c r="H248" s="124"/>
      <c r="I248" s="122"/>
      <c r="J248" s="122"/>
      <c r="K248" s="122"/>
      <c r="L248" s="125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6"/>
      <c r="AE248" s="122"/>
      <c r="AF248" s="126"/>
      <c r="AG248" s="122"/>
      <c r="AH248" s="126"/>
      <c r="AI248" s="122"/>
      <c r="AJ248" s="32"/>
      <c r="AK248" s="122"/>
      <c r="AL248" s="32"/>
      <c r="AM248" s="122"/>
      <c r="AN248" s="122"/>
      <c r="AO248" s="12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</row>
    <row r="249" spans="1:52" ht="15.75" customHeight="1">
      <c r="A249" s="122"/>
      <c r="B249" s="122"/>
      <c r="C249" s="122"/>
      <c r="D249" s="123"/>
      <c r="E249" s="123"/>
      <c r="F249" s="122"/>
      <c r="G249" s="122"/>
      <c r="H249" s="124"/>
      <c r="I249" s="122"/>
      <c r="J249" s="122"/>
      <c r="K249" s="122"/>
      <c r="L249" s="125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6"/>
      <c r="AE249" s="122"/>
      <c r="AF249" s="126"/>
      <c r="AG249" s="122"/>
      <c r="AH249" s="126"/>
      <c r="AI249" s="122"/>
      <c r="AJ249" s="32"/>
      <c r="AK249" s="122"/>
      <c r="AL249" s="32"/>
      <c r="AM249" s="122"/>
      <c r="AN249" s="122"/>
      <c r="AO249" s="12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</row>
    <row r="250" spans="1:52" ht="15.75" customHeight="1">
      <c r="A250" s="122"/>
      <c r="B250" s="122"/>
      <c r="C250" s="122"/>
      <c r="D250" s="123"/>
      <c r="E250" s="123"/>
      <c r="F250" s="122"/>
      <c r="G250" s="122"/>
      <c r="H250" s="124"/>
      <c r="I250" s="122"/>
      <c r="J250" s="122"/>
      <c r="K250" s="122"/>
      <c r="L250" s="125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6"/>
      <c r="AE250" s="122"/>
      <c r="AF250" s="126"/>
      <c r="AG250" s="122"/>
      <c r="AH250" s="126"/>
      <c r="AI250" s="122"/>
      <c r="AJ250" s="32"/>
      <c r="AK250" s="122"/>
      <c r="AL250" s="32"/>
      <c r="AM250" s="122"/>
      <c r="AN250" s="122"/>
      <c r="AO250" s="12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</row>
    <row r="251" spans="1:52" ht="15.75" customHeight="1">
      <c r="A251" s="122"/>
      <c r="B251" s="122"/>
      <c r="C251" s="122"/>
      <c r="D251" s="123"/>
      <c r="E251" s="123"/>
      <c r="F251" s="122"/>
      <c r="G251" s="122"/>
      <c r="H251" s="124"/>
      <c r="I251" s="122"/>
      <c r="J251" s="122"/>
      <c r="K251" s="122"/>
      <c r="L251" s="125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6"/>
      <c r="AE251" s="122"/>
      <c r="AF251" s="126"/>
      <c r="AG251" s="122"/>
      <c r="AH251" s="126"/>
      <c r="AI251" s="122"/>
      <c r="AJ251" s="32"/>
      <c r="AK251" s="122"/>
      <c r="AL251" s="32"/>
      <c r="AM251" s="122"/>
      <c r="AN251" s="122"/>
      <c r="AO251" s="12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</row>
    <row r="252" spans="1:52" ht="15.75" customHeight="1">
      <c r="A252" s="122"/>
      <c r="B252" s="122"/>
      <c r="C252" s="122"/>
      <c r="D252" s="123"/>
      <c r="E252" s="123"/>
      <c r="F252" s="122"/>
      <c r="G252" s="122"/>
      <c r="H252" s="124"/>
      <c r="I252" s="122"/>
      <c r="J252" s="122"/>
      <c r="K252" s="122"/>
      <c r="L252" s="125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6"/>
      <c r="AE252" s="122"/>
      <c r="AF252" s="126"/>
      <c r="AG252" s="122"/>
      <c r="AH252" s="126"/>
      <c r="AI252" s="122"/>
      <c r="AJ252" s="32"/>
      <c r="AK252" s="122"/>
      <c r="AL252" s="32"/>
      <c r="AM252" s="122"/>
      <c r="AN252" s="122"/>
      <c r="AO252" s="12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</row>
    <row r="253" spans="1:52" ht="15.75" customHeight="1">
      <c r="A253" s="122"/>
      <c r="B253" s="122"/>
      <c r="C253" s="122"/>
      <c r="D253" s="123"/>
      <c r="E253" s="123"/>
      <c r="F253" s="122"/>
      <c r="G253" s="122"/>
      <c r="H253" s="124"/>
      <c r="I253" s="122"/>
      <c r="J253" s="122"/>
      <c r="K253" s="122"/>
      <c r="L253" s="125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6"/>
      <c r="AE253" s="122"/>
      <c r="AF253" s="126"/>
      <c r="AG253" s="122"/>
      <c r="AH253" s="126"/>
      <c r="AI253" s="122"/>
      <c r="AJ253" s="32"/>
      <c r="AK253" s="122"/>
      <c r="AL253" s="32"/>
      <c r="AM253" s="122"/>
      <c r="AN253" s="122"/>
      <c r="AO253" s="12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</row>
    <row r="254" spans="1:52" ht="15.75" customHeight="1">
      <c r="A254" s="122"/>
      <c r="B254" s="122"/>
      <c r="C254" s="122"/>
      <c r="D254" s="123"/>
      <c r="E254" s="123"/>
      <c r="F254" s="122"/>
      <c r="G254" s="122"/>
      <c r="H254" s="124"/>
      <c r="I254" s="122"/>
      <c r="J254" s="122"/>
      <c r="K254" s="122"/>
      <c r="L254" s="125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6"/>
      <c r="AE254" s="122"/>
      <c r="AF254" s="126"/>
      <c r="AG254" s="122"/>
      <c r="AH254" s="126"/>
      <c r="AI254" s="122"/>
      <c r="AJ254" s="32"/>
      <c r="AK254" s="122"/>
      <c r="AL254" s="32"/>
      <c r="AM254" s="122"/>
      <c r="AN254" s="122"/>
      <c r="AO254" s="12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</row>
    <row r="255" spans="1:52" ht="15.75" customHeight="1">
      <c r="A255" s="122"/>
      <c r="B255" s="122"/>
      <c r="C255" s="122"/>
      <c r="D255" s="123"/>
      <c r="E255" s="123"/>
      <c r="F255" s="122"/>
      <c r="G255" s="122"/>
      <c r="H255" s="124"/>
      <c r="I255" s="122"/>
      <c r="J255" s="122"/>
      <c r="K255" s="122"/>
      <c r="L255" s="125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6"/>
      <c r="AE255" s="122"/>
      <c r="AF255" s="126"/>
      <c r="AG255" s="122"/>
      <c r="AH255" s="126"/>
      <c r="AI255" s="122"/>
      <c r="AJ255" s="32"/>
      <c r="AK255" s="122"/>
      <c r="AL255" s="32"/>
      <c r="AM255" s="122"/>
      <c r="AN255" s="122"/>
      <c r="AO255" s="12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</row>
    <row r="256" spans="1:52" ht="15.75" customHeight="1">
      <c r="A256" s="122"/>
      <c r="B256" s="122"/>
      <c r="C256" s="122"/>
      <c r="D256" s="123"/>
      <c r="E256" s="123"/>
      <c r="F256" s="122"/>
      <c r="G256" s="122"/>
      <c r="H256" s="124"/>
      <c r="I256" s="122"/>
      <c r="J256" s="122"/>
      <c r="K256" s="122"/>
      <c r="L256" s="125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6"/>
      <c r="AE256" s="122"/>
      <c r="AF256" s="126"/>
      <c r="AG256" s="122"/>
      <c r="AH256" s="126"/>
      <c r="AI256" s="122"/>
      <c r="AJ256" s="32"/>
      <c r="AK256" s="122"/>
      <c r="AL256" s="32"/>
      <c r="AM256" s="122"/>
      <c r="AN256" s="122"/>
      <c r="AO256" s="12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</row>
    <row r="257" spans="1:52" ht="15.75" customHeight="1">
      <c r="A257" s="122"/>
      <c r="B257" s="122"/>
      <c r="C257" s="122"/>
      <c r="D257" s="123"/>
      <c r="E257" s="123"/>
      <c r="F257" s="122"/>
      <c r="G257" s="122"/>
      <c r="H257" s="124"/>
      <c r="I257" s="122"/>
      <c r="J257" s="122"/>
      <c r="K257" s="122"/>
      <c r="L257" s="125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6"/>
      <c r="AE257" s="122"/>
      <c r="AF257" s="126"/>
      <c r="AG257" s="122"/>
      <c r="AH257" s="126"/>
      <c r="AI257" s="122"/>
      <c r="AJ257" s="32"/>
      <c r="AK257" s="122"/>
      <c r="AL257" s="32"/>
      <c r="AM257" s="122"/>
      <c r="AN257" s="122"/>
      <c r="AO257" s="12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</row>
    <row r="258" spans="1:52" ht="15.75" customHeight="1">
      <c r="A258" s="122"/>
      <c r="B258" s="122"/>
      <c r="C258" s="122"/>
      <c r="D258" s="123"/>
      <c r="E258" s="123"/>
      <c r="F258" s="122"/>
      <c r="G258" s="122"/>
      <c r="H258" s="124"/>
      <c r="I258" s="122"/>
      <c r="J258" s="122"/>
      <c r="K258" s="122"/>
      <c r="L258" s="125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6"/>
      <c r="AE258" s="122"/>
      <c r="AF258" s="126"/>
      <c r="AG258" s="122"/>
      <c r="AH258" s="126"/>
      <c r="AI258" s="122"/>
      <c r="AJ258" s="32"/>
      <c r="AK258" s="122"/>
      <c r="AL258" s="32"/>
      <c r="AM258" s="122"/>
      <c r="AN258" s="122"/>
      <c r="AO258" s="12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</row>
    <row r="259" spans="1:52" ht="15.75" customHeight="1">
      <c r="A259" s="122"/>
      <c r="B259" s="122"/>
      <c r="C259" s="122"/>
      <c r="D259" s="123"/>
      <c r="E259" s="123"/>
      <c r="F259" s="122"/>
      <c r="G259" s="122"/>
      <c r="H259" s="124"/>
      <c r="I259" s="122"/>
      <c r="J259" s="122"/>
      <c r="K259" s="122"/>
      <c r="L259" s="125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6"/>
      <c r="AE259" s="122"/>
      <c r="AF259" s="126"/>
      <c r="AG259" s="122"/>
      <c r="AH259" s="126"/>
      <c r="AI259" s="122"/>
      <c r="AJ259" s="32"/>
      <c r="AK259" s="122"/>
      <c r="AL259" s="32"/>
      <c r="AM259" s="122"/>
      <c r="AN259" s="122"/>
      <c r="AO259" s="12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</row>
    <row r="260" spans="1:52" ht="15.75" customHeight="1">
      <c r="A260" s="122"/>
      <c r="B260" s="122"/>
      <c r="C260" s="122"/>
      <c r="D260" s="123"/>
      <c r="E260" s="123"/>
      <c r="F260" s="122"/>
      <c r="G260" s="122"/>
      <c r="H260" s="124"/>
      <c r="I260" s="122"/>
      <c r="J260" s="122"/>
      <c r="K260" s="122"/>
      <c r="L260" s="125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6"/>
      <c r="AE260" s="122"/>
      <c r="AF260" s="126"/>
      <c r="AG260" s="122"/>
      <c r="AH260" s="126"/>
      <c r="AI260" s="122"/>
      <c r="AJ260" s="32"/>
      <c r="AK260" s="122"/>
      <c r="AL260" s="32"/>
      <c r="AM260" s="122"/>
      <c r="AN260" s="122"/>
      <c r="AO260" s="12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</row>
    <row r="261" spans="1:52" ht="15.75" customHeight="1">
      <c r="A261" s="122"/>
      <c r="B261" s="122"/>
      <c r="C261" s="122"/>
      <c r="D261" s="123"/>
      <c r="E261" s="123"/>
      <c r="F261" s="122"/>
      <c r="G261" s="122"/>
      <c r="H261" s="124"/>
      <c r="I261" s="122"/>
      <c r="J261" s="122"/>
      <c r="K261" s="122"/>
      <c r="L261" s="125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6"/>
      <c r="AE261" s="122"/>
      <c r="AF261" s="126"/>
      <c r="AG261" s="122"/>
      <c r="AH261" s="126"/>
      <c r="AI261" s="122"/>
      <c r="AJ261" s="32"/>
      <c r="AK261" s="122"/>
      <c r="AL261" s="32"/>
      <c r="AM261" s="122"/>
      <c r="AN261" s="122"/>
      <c r="AO261" s="12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</row>
    <row r="262" spans="1:52" ht="15.75" customHeight="1">
      <c r="A262" s="122"/>
      <c r="B262" s="122"/>
      <c r="C262" s="122"/>
      <c r="D262" s="123"/>
      <c r="E262" s="123"/>
      <c r="F262" s="122"/>
      <c r="G262" s="122"/>
      <c r="H262" s="124"/>
      <c r="I262" s="122"/>
      <c r="J262" s="122"/>
      <c r="K262" s="122"/>
      <c r="L262" s="125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6"/>
      <c r="AE262" s="122"/>
      <c r="AF262" s="126"/>
      <c r="AG262" s="122"/>
      <c r="AH262" s="126"/>
      <c r="AI262" s="122"/>
      <c r="AJ262" s="32"/>
      <c r="AK262" s="122"/>
      <c r="AL262" s="32"/>
      <c r="AM262" s="122"/>
      <c r="AN262" s="122"/>
      <c r="AO262" s="12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</row>
    <row r="263" spans="1:52" ht="15.75" customHeight="1">
      <c r="A263" s="122"/>
      <c r="B263" s="122"/>
      <c r="C263" s="122"/>
      <c r="D263" s="123"/>
      <c r="E263" s="123"/>
      <c r="F263" s="122"/>
      <c r="G263" s="122"/>
      <c r="H263" s="124"/>
      <c r="I263" s="122"/>
      <c r="J263" s="122"/>
      <c r="K263" s="122"/>
      <c r="L263" s="125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6"/>
      <c r="AE263" s="122"/>
      <c r="AF263" s="126"/>
      <c r="AG263" s="122"/>
      <c r="AH263" s="126"/>
      <c r="AI263" s="122"/>
      <c r="AJ263" s="32"/>
      <c r="AK263" s="122"/>
      <c r="AL263" s="32"/>
      <c r="AM263" s="122"/>
      <c r="AN263" s="122"/>
      <c r="AO263" s="12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</row>
    <row r="264" spans="1:52" ht="15.75" customHeight="1">
      <c r="A264" s="122"/>
      <c r="B264" s="122"/>
      <c r="C264" s="122"/>
      <c r="D264" s="123"/>
      <c r="E264" s="123"/>
      <c r="F264" s="122"/>
      <c r="G264" s="122"/>
      <c r="H264" s="124"/>
      <c r="I264" s="122"/>
      <c r="J264" s="122"/>
      <c r="K264" s="122"/>
      <c r="L264" s="125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6"/>
      <c r="AE264" s="122"/>
      <c r="AF264" s="126"/>
      <c r="AG264" s="122"/>
      <c r="AH264" s="126"/>
      <c r="AI264" s="122"/>
      <c r="AJ264" s="32"/>
      <c r="AK264" s="122"/>
      <c r="AL264" s="32"/>
      <c r="AM264" s="122"/>
      <c r="AN264" s="122"/>
      <c r="AO264" s="12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</row>
    <row r="265" spans="1:52" ht="15.75" customHeight="1">
      <c r="A265" s="122"/>
      <c r="B265" s="122"/>
      <c r="C265" s="122"/>
      <c r="D265" s="123"/>
      <c r="E265" s="123"/>
      <c r="F265" s="122"/>
      <c r="G265" s="122"/>
      <c r="H265" s="124"/>
      <c r="I265" s="122"/>
      <c r="J265" s="122"/>
      <c r="K265" s="122"/>
      <c r="L265" s="125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6"/>
      <c r="AE265" s="122"/>
      <c r="AF265" s="126"/>
      <c r="AG265" s="122"/>
      <c r="AH265" s="126"/>
      <c r="AI265" s="122"/>
      <c r="AJ265" s="32"/>
      <c r="AK265" s="122"/>
      <c r="AL265" s="32"/>
      <c r="AM265" s="122"/>
      <c r="AN265" s="122"/>
      <c r="AO265" s="12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</row>
    <row r="266" spans="1:52" ht="15.75" customHeight="1">
      <c r="A266" s="122"/>
      <c r="B266" s="122"/>
      <c r="C266" s="122"/>
      <c r="D266" s="123"/>
      <c r="E266" s="123"/>
      <c r="F266" s="122"/>
      <c r="G266" s="122"/>
      <c r="H266" s="124"/>
      <c r="I266" s="122"/>
      <c r="J266" s="122"/>
      <c r="K266" s="122"/>
      <c r="L266" s="125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6"/>
      <c r="AE266" s="122"/>
      <c r="AF266" s="126"/>
      <c r="AG266" s="122"/>
      <c r="AH266" s="126"/>
      <c r="AI266" s="122"/>
      <c r="AJ266" s="32"/>
      <c r="AK266" s="122"/>
      <c r="AL266" s="32"/>
      <c r="AM266" s="122"/>
      <c r="AN266" s="122"/>
      <c r="AO266" s="12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</row>
    <row r="267" spans="1:52" ht="15.75" customHeight="1">
      <c r="A267" s="122"/>
      <c r="B267" s="122"/>
      <c r="C267" s="122"/>
      <c r="D267" s="123"/>
      <c r="E267" s="123"/>
      <c r="F267" s="122"/>
      <c r="G267" s="122"/>
      <c r="H267" s="124"/>
      <c r="I267" s="122"/>
      <c r="J267" s="122"/>
      <c r="K267" s="122"/>
      <c r="L267" s="125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6"/>
      <c r="AE267" s="122"/>
      <c r="AF267" s="126"/>
      <c r="AG267" s="122"/>
      <c r="AH267" s="126"/>
      <c r="AI267" s="122"/>
      <c r="AJ267" s="32"/>
      <c r="AK267" s="122"/>
      <c r="AL267" s="32"/>
      <c r="AM267" s="122"/>
      <c r="AN267" s="122"/>
      <c r="AO267" s="12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</row>
    <row r="268" spans="1:52" ht="15.75" customHeight="1">
      <c r="A268" s="122"/>
      <c r="B268" s="122"/>
      <c r="C268" s="122"/>
      <c r="D268" s="123"/>
      <c r="E268" s="123"/>
      <c r="F268" s="122"/>
      <c r="G268" s="122"/>
      <c r="H268" s="124"/>
      <c r="I268" s="122"/>
      <c r="J268" s="122"/>
      <c r="K268" s="122"/>
      <c r="L268" s="125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6"/>
      <c r="AE268" s="122"/>
      <c r="AF268" s="126"/>
      <c r="AG268" s="122"/>
      <c r="AH268" s="126"/>
      <c r="AI268" s="122"/>
      <c r="AJ268" s="32"/>
      <c r="AK268" s="122"/>
      <c r="AL268" s="32"/>
      <c r="AM268" s="122"/>
      <c r="AN268" s="122"/>
      <c r="AO268" s="12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</row>
    <row r="269" spans="1:52" ht="15.75" customHeight="1">
      <c r="A269" s="122"/>
      <c r="B269" s="122"/>
      <c r="C269" s="122"/>
      <c r="D269" s="123"/>
      <c r="E269" s="123"/>
      <c r="F269" s="122"/>
      <c r="G269" s="122"/>
      <c r="H269" s="124"/>
      <c r="I269" s="122"/>
      <c r="J269" s="122"/>
      <c r="K269" s="122"/>
      <c r="L269" s="125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6"/>
      <c r="AE269" s="122"/>
      <c r="AF269" s="126"/>
      <c r="AG269" s="122"/>
      <c r="AH269" s="126"/>
      <c r="AI269" s="122"/>
      <c r="AJ269" s="32"/>
      <c r="AK269" s="122"/>
      <c r="AL269" s="32"/>
      <c r="AM269" s="122"/>
      <c r="AN269" s="122"/>
      <c r="AO269" s="12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</row>
    <row r="270" spans="1:52" ht="15.75" customHeight="1">
      <c r="A270" s="122"/>
      <c r="B270" s="122"/>
      <c r="C270" s="122"/>
      <c r="D270" s="123"/>
      <c r="E270" s="123"/>
      <c r="F270" s="122"/>
      <c r="G270" s="122"/>
      <c r="H270" s="124"/>
      <c r="I270" s="122"/>
      <c r="J270" s="122"/>
      <c r="K270" s="122"/>
      <c r="L270" s="125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6"/>
      <c r="AE270" s="122"/>
      <c r="AF270" s="126"/>
      <c r="AG270" s="122"/>
      <c r="AH270" s="126"/>
      <c r="AI270" s="122"/>
      <c r="AJ270" s="32"/>
      <c r="AK270" s="122"/>
      <c r="AL270" s="32"/>
      <c r="AM270" s="122"/>
      <c r="AN270" s="122"/>
      <c r="AO270" s="12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</row>
    <row r="271" spans="1:52" ht="15.75" customHeight="1">
      <c r="A271" s="122"/>
      <c r="B271" s="122"/>
      <c r="C271" s="122"/>
      <c r="D271" s="123"/>
      <c r="E271" s="123"/>
      <c r="F271" s="122"/>
      <c r="G271" s="122"/>
      <c r="H271" s="124"/>
      <c r="I271" s="122"/>
      <c r="J271" s="122"/>
      <c r="K271" s="122"/>
      <c r="L271" s="125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6"/>
      <c r="AE271" s="122"/>
      <c r="AF271" s="126"/>
      <c r="AG271" s="122"/>
      <c r="AH271" s="126"/>
      <c r="AI271" s="122"/>
      <c r="AJ271" s="32"/>
      <c r="AK271" s="122"/>
      <c r="AL271" s="32"/>
      <c r="AM271" s="122"/>
      <c r="AN271" s="122"/>
      <c r="AO271" s="12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</row>
    <row r="272" spans="1:52" ht="15.75" customHeight="1">
      <c r="A272" s="122"/>
      <c r="B272" s="122"/>
      <c r="C272" s="122"/>
      <c r="D272" s="123"/>
      <c r="E272" s="123"/>
      <c r="F272" s="122"/>
      <c r="G272" s="122"/>
      <c r="H272" s="124"/>
      <c r="I272" s="122"/>
      <c r="J272" s="122"/>
      <c r="K272" s="122"/>
      <c r="L272" s="125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6"/>
      <c r="AE272" s="122"/>
      <c r="AF272" s="126"/>
      <c r="AG272" s="122"/>
      <c r="AH272" s="126"/>
      <c r="AI272" s="122"/>
      <c r="AJ272" s="32"/>
      <c r="AK272" s="122"/>
      <c r="AL272" s="32"/>
      <c r="AM272" s="122"/>
      <c r="AN272" s="122"/>
      <c r="AO272" s="12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</row>
    <row r="273" spans="1:52" ht="15.75" customHeight="1">
      <c r="A273" s="122"/>
      <c r="B273" s="122"/>
      <c r="C273" s="122"/>
      <c r="D273" s="123"/>
      <c r="E273" s="123"/>
      <c r="F273" s="122"/>
      <c r="G273" s="122"/>
      <c r="H273" s="124"/>
      <c r="I273" s="122"/>
      <c r="J273" s="122"/>
      <c r="K273" s="122"/>
      <c r="L273" s="125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6"/>
      <c r="AE273" s="122"/>
      <c r="AF273" s="126"/>
      <c r="AG273" s="122"/>
      <c r="AH273" s="126"/>
      <c r="AI273" s="122"/>
      <c r="AJ273" s="32"/>
      <c r="AK273" s="122"/>
      <c r="AL273" s="32"/>
      <c r="AM273" s="122"/>
      <c r="AN273" s="122"/>
      <c r="AO273" s="12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</row>
    <row r="274" spans="1:52" ht="15.75" customHeight="1">
      <c r="A274" s="122"/>
      <c r="B274" s="122"/>
      <c r="C274" s="122"/>
      <c r="D274" s="123"/>
      <c r="E274" s="123"/>
      <c r="F274" s="122"/>
      <c r="G274" s="122"/>
      <c r="H274" s="124"/>
      <c r="I274" s="122"/>
      <c r="J274" s="122"/>
      <c r="K274" s="122"/>
      <c r="L274" s="125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6"/>
      <c r="AE274" s="122"/>
      <c r="AF274" s="126"/>
      <c r="AG274" s="122"/>
      <c r="AH274" s="126"/>
      <c r="AI274" s="122"/>
      <c r="AJ274" s="32"/>
      <c r="AK274" s="122"/>
      <c r="AL274" s="32"/>
      <c r="AM274" s="122"/>
      <c r="AN274" s="122"/>
      <c r="AO274" s="12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</row>
    <row r="275" spans="1:52" ht="15.75" customHeight="1">
      <c r="A275" s="122"/>
      <c r="B275" s="122"/>
      <c r="C275" s="122"/>
      <c r="D275" s="123"/>
      <c r="E275" s="123"/>
      <c r="F275" s="122"/>
      <c r="G275" s="122"/>
      <c r="H275" s="124"/>
      <c r="I275" s="122"/>
      <c r="J275" s="122"/>
      <c r="K275" s="122"/>
      <c r="L275" s="125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6"/>
      <c r="AE275" s="122"/>
      <c r="AF275" s="126"/>
      <c r="AG275" s="122"/>
      <c r="AH275" s="126"/>
      <c r="AI275" s="122"/>
      <c r="AJ275" s="32"/>
      <c r="AK275" s="122"/>
      <c r="AL275" s="32"/>
      <c r="AM275" s="122"/>
      <c r="AN275" s="122"/>
      <c r="AO275" s="12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</row>
    <row r="276" spans="1:52" ht="15.75" customHeight="1">
      <c r="A276" s="122"/>
      <c r="B276" s="122"/>
      <c r="C276" s="122"/>
      <c r="D276" s="123"/>
      <c r="E276" s="123"/>
      <c r="F276" s="122"/>
      <c r="G276" s="122"/>
      <c r="H276" s="124"/>
      <c r="I276" s="122"/>
      <c r="J276" s="122"/>
      <c r="K276" s="122"/>
      <c r="L276" s="125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6"/>
      <c r="AE276" s="122"/>
      <c r="AF276" s="126"/>
      <c r="AG276" s="122"/>
      <c r="AH276" s="126"/>
      <c r="AI276" s="122"/>
      <c r="AJ276" s="32"/>
      <c r="AK276" s="122"/>
      <c r="AL276" s="32"/>
      <c r="AM276" s="122"/>
      <c r="AN276" s="122"/>
      <c r="AO276" s="12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</row>
    <row r="277" spans="1:52" ht="15.75" customHeight="1">
      <c r="A277" s="122"/>
      <c r="B277" s="122"/>
      <c r="C277" s="122"/>
      <c r="D277" s="123"/>
      <c r="E277" s="123"/>
      <c r="F277" s="122"/>
      <c r="G277" s="122"/>
      <c r="H277" s="124"/>
      <c r="I277" s="122"/>
      <c r="J277" s="122"/>
      <c r="K277" s="122"/>
      <c r="L277" s="125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6"/>
      <c r="AE277" s="122"/>
      <c r="AF277" s="126"/>
      <c r="AG277" s="122"/>
      <c r="AH277" s="126"/>
      <c r="AI277" s="122"/>
      <c r="AJ277" s="32"/>
      <c r="AK277" s="122"/>
      <c r="AL277" s="32"/>
      <c r="AM277" s="122"/>
      <c r="AN277" s="122"/>
      <c r="AO277" s="12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</row>
    <row r="278" spans="1:52" ht="15.75" customHeight="1">
      <c r="A278" s="122"/>
      <c r="B278" s="122"/>
      <c r="C278" s="122"/>
      <c r="D278" s="123"/>
      <c r="E278" s="123"/>
      <c r="F278" s="122"/>
      <c r="G278" s="122"/>
      <c r="H278" s="124"/>
      <c r="I278" s="122"/>
      <c r="J278" s="122"/>
      <c r="K278" s="122"/>
      <c r="L278" s="125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6"/>
      <c r="AE278" s="122"/>
      <c r="AF278" s="126"/>
      <c r="AG278" s="122"/>
      <c r="AH278" s="126"/>
      <c r="AI278" s="122"/>
      <c r="AJ278" s="32"/>
      <c r="AK278" s="122"/>
      <c r="AL278" s="32"/>
      <c r="AM278" s="122"/>
      <c r="AN278" s="122"/>
      <c r="AO278" s="12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</row>
    <row r="279" spans="1:52" ht="15.75" customHeight="1">
      <c r="A279" s="122"/>
      <c r="B279" s="122"/>
      <c r="C279" s="122"/>
      <c r="D279" s="123"/>
      <c r="E279" s="123"/>
      <c r="F279" s="122"/>
      <c r="G279" s="122"/>
      <c r="H279" s="124"/>
      <c r="I279" s="122"/>
      <c r="J279" s="122"/>
      <c r="K279" s="122"/>
      <c r="L279" s="125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6"/>
      <c r="AE279" s="122"/>
      <c r="AF279" s="126"/>
      <c r="AG279" s="122"/>
      <c r="AH279" s="126"/>
      <c r="AI279" s="122"/>
      <c r="AJ279" s="32"/>
      <c r="AK279" s="122"/>
      <c r="AL279" s="32"/>
      <c r="AM279" s="122"/>
      <c r="AN279" s="122"/>
      <c r="AO279" s="12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</row>
    <row r="280" spans="1:52" ht="15.75" customHeight="1">
      <c r="A280" s="122"/>
      <c r="B280" s="122"/>
      <c r="C280" s="122"/>
      <c r="D280" s="123"/>
      <c r="E280" s="123"/>
      <c r="F280" s="122"/>
      <c r="G280" s="122"/>
      <c r="H280" s="124"/>
      <c r="I280" s="122"/>
      <c r="J280" s="122"/>
      <c r="K280" s="122"/>
      <c r="L280" s="125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6"/>
      <c r="AE280" s="122"/>
      <c r="AF280" s="126"/>
      <c r="AG280" s="122"/>
      <c r="AH280" s="126"/>
      <c r="AI280" s="122"/>
      <c r="AJ280" s="32"/>
      <c r="AK280" s="122"/>
      <c r="AL280" s="32"/>
      <c r="AM280" s="122"/>
      <c r="AN280" s="122"/>
      <c r="AO280" s="12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</row>
    <row r="281" spans="1:52" ht="15.75" customHeight="1">
      <c r="A281" s="122"/>
      <c r="B281" s="122"/>
      <c r="C281" s="122"/>
      <c r="D281" s="123"/>
      <c r="E281" s="123"/>
      <c r="F281" s="122"/>
      <c r="G281" s="122"/>
      <c r="H281" s="124"/>
      <c r="I281" s="122"/>
      <c r="J281" s="122"/>
      <c r="K281" s="122"/>
      <c r="L281" s="125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6"/>
      <c r="AE281" s="122"/>
      <c r="AF281" s="126"/>
      <c r="AG281" s="122"/>
      <c r="AH281" s="126"/>
      <c r="AI281" s="122"/>
      <c r="AJ281" s="32"/>
      <c r="AK281" s="122"/>
      <c r="AL281" s="32"/>
      <c r="AM281" s="122"/>
      <c r="AN281" s="122"/>
      <c r="AO281" s="12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</row>
    <row r="282" spans="1:52" ht="15.75" customHeight="1">
      <c r="A282" s="122"/>
      <c r="B282" s="122"/>
      <c r="C282" s="122"/>
      <c r="D282" s="123"/>
      <c r="E282" s="123"/>
      <c r="F282" s="122"/>
      <c r="G282" s="122"/>
      <c r="H282" s="124"/>
      <c r="I282" s="122"/>
      <c r="J282" s="122"/>
      <c r="K282" s="122"/>
      <c r="L282" s="125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6"/>
      <c r="AE282" s="122"/>
      <c r="AF282" s="126"/>
      <c r="AG282" s="122"/>
      <c r="AH282" s="126"/>
      <c r="AI282" s="122"/>
      <c r="AJ282" s="32"/>
      <c r="AK282" s="122"/>
      <c r="AL282" s="32"/>
      <c r="AM282" s="122"/>
      <c r="AN282" s="122"/>
      <c r="AO282" s="12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</row>
    <row r="283" spans="1:52" ht="15.75" customHeight="1">
      <c r="A283" s="122"/>
      <c r="B283" s="122"/>
      <c r="C283" s="122"/>
      <c r="D283" s="123"/>
      <c r="E283" s="123"/>
      <c r="F283" s="122"/>
      <c r="G283" s="122"/>
      <c r="H283" s="124"/>
      <c r="I283" s="122"/>
      <c r="J283" s="122"/>
      <c r="K283" s="122"/>
      <c r="L283" s="125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6"/>
      <c r="AE283" s="122"/>
      <c r="AF283" s="126"/>
      <c r="AG283" s="122"/>
      <c r="AH283" s="126"/>
      <c r="AI283" s="122"/>
      <c r="AJ283" s="32"/>
      <c r="AK283" s="122"/>
      <c r="AL283" s="32"/>
      <c r="AM283" s="122"/>
      <c r="AN283" s="122"/>
      <c r="AO283" s="12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</row>
    <row r="284" spans="1:52" ht="15.75" customHeight="1">
      <c r="A284" s="122"/>
      <c r="B284" s="122"/>
      <c r="C284" s="122"/>
      <c r="D284" s="123"/>
      <c r="E284" s="123"/>
      <c r="F284" s="122"/>
      <c r="G284" s="122"/>
      <c r="H284" s="124"/>
      <c r="I284" s="122"/>
      <c r="J284" s="122"/>
      <c r="K284" s="122"/>
      <c r="L284" s="125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6"/>
      <c r="AE284" s="122"/>
      <c r="AF284" s="126"/>
      <c r="AG284" s="122"/>
      <c r="AH284" s="126"/>
      <c r="AI284" s="122"/>
      <c r="AJ284" s="32"/>
      <c r="AK284" s="122"/>
      <c r="AL284" s="32"/>
      <c r="AM284" s="122"/>
      <c r="AN284" s="122"/>
      <c r="AO284" s="12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</row>
    <row r="285" spans="1:52" ht="15.75" customHeight="1">
      <c r="A285" s="122"/>
      <c r="B285" s="122"/>
      <c r="C285" s="122"/>
      <c r="D285" s="123"/>
      <c r="E285" s="123"/>
      <c r="F285" s="122"/>
      <c r="G285" s="122"/>
      <c r="H285" s="124"/>
      <c r="I285" s="122"/>
      <c r="J285" s="122"/>
      <c r="K285" s="122"/>
      <c r="L285" s="125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6"/>
      <c r="AE285" s="122"/>
      <c r="AF285" s="126"/>
      <c r="AG285" s="122"/>
      <c r="AH285" s="126"/>
      <c r="AI285" s="122"/>
      <c r="AJ285" s="32"/>
      <c r="AK285" s="122"/>
      <c r="AL285" s="32"/>
      <c r="AM285" s="122"/>
      <c r="AN285" s="122"/>
      <c r="AO285" s="12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</row>
    <row r="286" spans="1:52" ht="15.75" customHeight="1">
      <c r="A286" s="122"/>
      <c r="B286" s="122"/>
      <c r="C286" s="122"/>
      <c r="D286" s="123"/>
      <c r="E286" s="123"/>
      <c r="F286" s="122"/>
      <c r="G286" s="122"/>
      <c r="H286" s="124"/>
      <c r="I286" s="122"/>
      <c r="J286" s="122"/>
      <c r="K286" s="122"/>
      <c r="L286" s="125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6"/>
      <c r="AE286" s="122"/>
      <c r="AF286" s="126"/>
      <c r="AG286" s="122"/>
      <c r="AH286" s="126"/>
      <c r="AI286" s="122"/>
      <c r="AJ286" s="32"/>
      <c r="AK286" s="122"/>
      <c r="AL286" s="32"/>
      <c r="AM286" s="122"/>
      <c r="AN286" s="122"/>
      <c r="AO286" s="12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</row>
    <row r="287" spans="1:52" ht="15.75" customHeight="1">
      <c r="A287" s="122"/>
      <c r="B287" s="122"/>
      <c r="C287" s="122"/>
      <c r="D287" s="123"/>
      <c r="E287" s="123"/>
      <c r="F287" s="122"/>
      <c r="G287" s="122"/>
      <c r="H287" s="124"/>
      <c r="I287" s="122"/>
      <c r="J287" s="122"/>
      <c r="K287" s="122"/>
      <c r="L287" s="125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6"/>
      <c r="AE287" s="122"/>
      <c r="AF287" s="126"/>
      <c r="AG287" s="122"/>
      <c r="AH287" s="126"/>
      <c r="AI287" s="122"/>
      <c r="AJ287" s="32"/>
      <c r="AK287" s="122"/>
      <c r="AL287" s="32"/>
      <c r="AM287" s="122"/>
      <c r="AN287" s="122"/>
      <c r="AO287" s="12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</row>
    <row r="288" spans="1:52" ht="15.75" customHeight="1">
      <c r="A288" s="122"/>
      <c r="B288" s="122"/>
      <c r="C288" s="122"/>
      <c r="D288" s="123"/>
      <c r="E288" s="123"/>
      <c r="F288" s="122"/>
      <c r="G288" s="122"/>
      <c r="H288" s="124"/>
      <c r="I288" s="122"/>
      <c r="J288" s="122"/>
      <c r="K288" s="122"/>
      <c r="L288" s="125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6"/>
      <c r="AE288" s="122"/>
      <c r="AF288" s="126"/>
      <c r="AG288" s="122"/>
      <c r="AH288" s="126"/>
      <c r="AI288" s="122"/>
      <c r="AJ288" s="32"/>
      <c r="AK288" s="122"/>
      <c r="AL288" s="32"/>
      <c r="AM288" s="122"/>
      <c r="AN288" s="122"/>
      <c r="AO288" s="12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</row>
    <row r="289" spans="1:52" ht="15.75" customHeight="1">
      <c r="A289" s="122"/>
      <c r="B289" s="122"/>
      <c r="C289" s="122"/>
      <c r="D289" s="123"/>
      <c r="E289" s="123"/>
      <c r="F289" s="122"/>
      <c r="G289" s="122"/>
      <c r="H289" s="124"/>
      <c r="I289" s="122"/>
      <c r="J289" s="122"/>
      <c r="K289" s="122"/>
      <c r="L289" s="125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6"/>
      <c r="AE289" s="122"/>
      <c r="AF289" s="126"/>
      <c r="AG289" s="122"/>
      <c r="AH289" s="126"/>
      <c r="AI289" s="122"/>
      <c r="AJ289" s="32"/>
      <c r="AK289" s="122"/>
      <c r="AL289" s="32"/>
      <c r="AM289" s="122"/>
      <c r="AN289" s="122"/>
      <c r="AO289" s="12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</row>
    <row r="290" spans="1:52" ht="15.75" customHeight="1">
      <c r="A290" s="122"/>
      <c r="B290" s="122"/>
      <c r="C290" s="122"/>
      <c r="D290" s="123"/>
      <c r="E290" s="123"/>
      <c r="F290" s="122"/>
      <c r="G290" s="122"/>
      <c r="H290" s="124"/>
      <c r="I290" s="122"/>
      <c r="J290" s="122"/>
      <c r="K290" s="122"/>
      <c r="L290" s="125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6"/>
      <c r="AE290" s="122"/>
      <c r="AF290" s="126"/>
      <c r="AG290" s="122"/>
      <c r="AH290" s="126"/>
      <c r="AI290" s="122"/>
      <c r="AJ290" s="32"/>
      <c r="AK290" s="122"/>
      <c r="AL290" s="32"/>
      <c r="AM290" s="122"/>
      <c r="AN290" s="122"/>
      <c r="AO290" s="12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</row>
    <row r="291" spans="1:52" ht="15.75" customHeight="1">
      <c r="A291" s="122"/>
      <c r="B291" s="122"/>
      <c r="C291" s="122"/>
      <c r="D291" s="123"/>
      <c r="E291" s="123"/>
      <c r="F291" s="122"/>
      <c r="G291" s="122"/>
      <c r="H291" s="124"/>
      <c r="I291" s="122"/>
      <c r="J291" s="122"/>
      <c r="K291" s="122"/>
      <c r="L291" s="125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6"/>
      <c r="AE291" s="122"/>
      <c r="AF291" s="126"/>
      <c r="AG291" s="122"/>
      <c r="AH291" s="126"/>
      <c r="AI291" s="122"/>
      <c r="AJ291" s="32"/>
      <c r="AK291" s="122"/>
      <c r="AL291" s="32"/>
      <c r="AM291" s="122"/>
      <c r="AN291" s="122"/>
      <c r="AO291" s="12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</row>
    <row r="292" spans="1:52" ht="15.75" customHeight="1">
      <c r="A292" s="122"/>
      <c r="B292" s="122"/>
      <c r="C292" s="122"/>
      <c r="D292" s="123"/>
      <c r="E292" s="123"/>
      <c r="F292" s="122"/>
      <c r="G292" s="122"/>
      <c r="H292" s="124"/>
      <c r="I292" s="122"/>
      <c r="J292" s="122"/>
      <c r="K292" s="122"/>
      <c r="L292" s="125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6"/>
      <c r="AE292" s="122"/>
      <c r="AF292" s="126"/>
      <c r="AG292" s="122"/>
      <c r="AH292" s="126"/>
      <c r="AI292" s="122"/>
      <c r="AJ292" s="32"/>
      <c r="AK292" s="122"/>
      <c r="AL292" s="32"/>
      <c r="AM292" s="122"/>
      <c r="AN292" s="122"/>
      <c r="AO292" s="12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</row>
    <row r="293" spans="1:52" ht="15.75" customHeight="1">
      <c r="A293" s="122"/>
      <c r="B293" s="122"/>
      <c r="C293" s="122"/>
      <c r="D293" s="123"/>
      <c r="E293" s="123"/>
      <c r="F293" s="122"/>
      <c r="G293" s="122"/>
      <c r="H293" s="124"/>
      <c r="I293" s="122"/>
      <c r="J293" s="122"/>
      <c r="K293" s="122"/>
      <c r="L293" s="125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6"/>
      <c r="AE293" s="122"/>
      <c r="AF293" s="126"/>
      <c r="AG293" s="122"/>
      <c r="AH293" s="126"/>
      <c r="AI293" s="122"/>
      <c r="AJ293" s="32"/>
      <c r="AK293" s="122"/>
      <c r="AL293" s="32"/>
      <c r="AM293" s="122"/>
      <c r="AN293" s="122"/>
      <c r="AO293" s="12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</row>
    <row r="294" spans="1:52" ht="15.75" customHeight="1">
      <c r="A294" s="122"/>
      <c r="B294" s="122"/>
      <c r="C294" s="122"/>
      <c r="D294" s="123"/>
      <c r="E294" s="123"/>
      <c r="F294" s="122"/>
      <c r="G294" s="122"/>
      <c r="H294" s="124"/>
      <c r="I294" s="122"/>
      <c r="J294" s="122"/>
      <c r="K294" s="122"/>
      <c r="L294" s="125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6"/>
      <c r="AE294" s="122"/>
      <c r="AF294" s="126"/>
      <c r="AG294" s="122"/>
      <c r="AH294" s="126"/>
      <c r="AI294" s="122"/>
      <c r="AJ294" s="32"/>
      <c r="AK294" s="122"/>
      <c r="AL294" s="32"/>
      <c r="AM294" s="122"/>
      <c r="AN294" s="122"/>
      <c r="AO294" s="12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</row>
    <row r="295" spans="1:52" ht="15.75" customHeight="1">
      <c r="A295" s="122"/>
      <c r="B295" s="122"/>
      <c r="C295" s="122"/>
      <c r="D295" s="123"/>
      <c r="E295" s="123"/>
      <c r="F295" s="122"/>
      <c r="G295" s="122"/>
      <c r="H295" s="124"/>
      <c r="I295" s="122"/>
      <c r="J295" s="122"/>
      <c r="K295" s="122"/>
      <c r="L295" s="125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6"/>
      <c r="AE295" s="122"/>
      <c r="AF295" s="126"/>
      <c r="AG295" s="122"/>
      <c r="AH295" s="126"/>
      <c r="AI295" s="122"/>
      <c r="AJ295" s="32"/>
      <c r="AK295" s="122"/>
      <c r="AL295" s="32"/>
      <c r="AM295" s="122"/>
      <c r="AN295" s="122"/>
      <c r="AO295" s="12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</row>
    <row r="296" spans="1:52" ht="15.75" customHeight="1">
      <c r="A296" s="122"/>
      <c r="B296" s="122"/>
      <c r="C296" s="122"/>
      <c r="D296" s="123"/>
      <c r="E296" s="123"/>
      <c r="F296" s="122"/>
      <c r="G296" s="122"/>
      <c r="H296" s="124"/>
      <c r="I296" s="122"/>
      <c r="J296" s="122"/>
      <c r="K296" s="122"/>
      <c r="L296" s="125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6"/>
      <c r="AE296" s="122"/>
      <c r="AF296" s="126"/>
      <c r="AG296" s="122"/>
      <c r="AH296" s="126"/>
      <c r="AI296" s="122"/>
      <c r="AJ296" s="32"/>
      <c r="AK296" s="122"/>
      <c r="AL296" s="32"/>
      <c r="AM296" s="122"/>
      <c r="AN296" s="122"/>
      <c r="AO296" s="12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</row>
    <row r="297" spans="1:52" ht="15.75" customHeight="1">
      <c r="A297" s="122"/>
      <c r="B297" s="122"/>
      <c r="C297" s="122"/>
      <c r="D297" s="123"/>
      <c r="E297" s="123"/>
      <c r="F297" s="122"/>
      <c r="G297" s="122"/>
      <c r="H297" s="124"/>
      <c r="I297" s="122"/>
      <c r="J297" s="122"/>
      <c r="K297" s="122"/>
      <c r="L297" s="125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6"/>
      <c r="AE297" s="122"/>
      <c r="AF297" s="126"/>
      <c r="AG297" s="122"/>
      <c r="AH297" s="126"/>
      <c r="AI297" s="122"/>
      <c r="AJ297" s="32"/>
      <c r="AK297" s="122"/>
      <c r="AL297" s="32"/>
      <c r="AM297" s="122"/>
      <c r="AN297" s="122"/>
      <c r="AO297" s="12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</row>
    <row r="298" spans="1:52" ht="15.75" customHeight="1">
      <c r="A298" s="122"/>
      <c r="B298" s="122"/>
      <c r="C298" s="122"/>
      <c r="D298" s="123"/>
      <c r="E298" s="123"/>
      <c r="F298" s="122"/>
      <c r="G298" s="122"/>
      <c r="H298" s="124"/>
      <c r="I298" s="122"/>
      <c r="J298" s="122"/>
      <c r="K298" s="122"/>
      <c r="L298" s="125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6"/>
      <c r="AE298" s="122"/>
      <c r="AF298" s="126"/>
      <c r="AG298" s="122"/>
      <c r="AH298" s="126"/>
      <c r="AI298" s="122"/>
      <c r="AJ298" s="32"/>
      <c r="AK298" s="122"/>
      <c r="AL298" s="32"/>
      <c r="AM298" s="122"/>
      <c r="AN298" s="122"/>
      <c r="AO298" s="12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</row>
    <row r="299" spans="1:52" ht="15.75" customHeight="1">
      <c r="A299" s="122"/>
      <c r="B299" s="122"/>
      <c r="C299" s="122"/>
      <c r="D299" s="123"/>
      <c r="E299" s="123"/>
      <c r="F299" s="122"/>
      <c r="G299" s="122"/>
      <c r="H299" s="124"/>
      <c r="I299" s="122"/>
      <c r="J299" s="122"/>
      <c r="K299" s="122"/>
      <c r="L299" s="125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6"/>
      <c r="AE299" s="122"/>
      <c r="AF299" s="126"/>
      <c r="AG299" s="122"/>
      <c r="AH299" s="126"/>
      <c r="AI299" s="122"/>
      <c r="AJ299" s="32"/>
      <c r="AK299" s="122"/>
      <c r="AL299" s="32"/>
      <c r="AM299" s="122"/>
      <c r="AN299" s="122"/>
      <c r="AO299" s="12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</row>
    <row r="300" spans="1:52" ht="15.75" customHeight="1">
      <c r="A300" s="122"/>
      <c r="B300" s="122"/>
      <c r="C300" s="122"/>
      <c r="D300" s="123"/>
      <c r="E300" s="123"/>
      <c r="F300" s="122"/>
      <c r="G300" s="122"/>
      <c r="H300" s="124"/>
      <c r="I300" s="122"/>
      <c r="J300" s="122"/>
      <c r="K300" s="122"/>
      <c r="L300" s="125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6"/>
      <c r="AE300" s="122"/>
      <c r="AF300" s="126"/>
      <c r="AG300" s="122"/>
      <c r="AH300" s="126"/>
      <c r="AI300" s="122"/>
      <c r="AJ300" s="32"/>
      <c r="AK300" s="122"/>
      <c r="AL300" s="32"/>
      <c r="AM300" s="122"/>
      <c r="AN300" s="122"/>
      <c r="AO300" s="12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</row>
    <row r="301" spans="1:52" ht="15.75" customHeight="1">
      <c r="A301" s="122"/>
      <c r="B301" s="122"/>
      <c r="C301" s="122"/>
      <c r="D301" s="123"/>
      <c r="E301" s="123"/>
      <c r="F301" s="122"/>
      <c r="G301" s="122"/>
      <c r="H301" s="124"/>
      <c r="I301" s="122"/>
      <c r="J301" s="122"/>
      <c r="K301" s="122"/>
      <c r="L301" s="125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6"/>
      <c r="AE301" s="122"/>
      <c r="AF301" s="126"/>
      <c r="AG301" s="122"/>
      <c r="AH301" s="126"/>
      <c r="AI301" s="122"/>
      <c r="AJ301" s="32"/>
      <c r="AK301" s="122"/>
      <c r="AL301" s="32"/>
      <c r="AM301" s="122"/>
      <c r="AN301" s="122"/>
      <c r="AO301" s="12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</row>
    <row r="302" spans="1:52" ht="15.75" customHeight="1">
      <c r="A302" s="122"/>
      <c r="B302" s="122"/>
      <c r="C302" s="122"/>
      <c r="D302" s="123"/>
      <c r="E302" s="123"/>
      <c r="F302" s="122"/>
      <c r="G302" s="122"/>
      <c r="H302" s="124"/>
      <c r="I302" s="122"/>
      <c r="J302" s="122"/>
      <c r="K302" s="122"/>
      <c r="L302" s="125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6"/>
      <c r="AE302" s="122"/>
      <c r="AF302" s="126"/>
      <c r="AG302" s="122"/>
      <c r="AH302" s="126"/>
      <c r="AI302" s="122"/>
      <c r="AJ302" s="32"/>
      <c r="AK302" s="122"/>
      <c r="AL302" s="32"/>
      <c r="AM302" s="122"/>
      <c r="AN302" s="122"/>
      <c r="AO302" s="12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</row>
    <row r="303" spans="1:52" ht="15.75" customHeight="1">
      <c r="A303" s="122"/>
      <c r="B303" s="122"/>
      <c r="C303" s="122"/>
      <c r="D303" s="123"/>
      <c r="E303" s="123"/>
      <c r="F303" s="122"/>
      <c r="G303" s="122"/>
      <c r="H303" s="124"/>
      <c r="I303" s="122"/>
      <c r="J303" s="122"/>
      <c r="K303" s="122"/>
      <c r="L303" s="125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6"/>
      <c r="AE303" s="122"/>
      <c r="AF303" s="126"/>
      <c r="AG303" s="122"/>
      <c r="AH303" s="126"/>
      <c r="AI303" s="122"/>
      <c r="AJ303" s="32"/>
      <c r="AK303" s="122"/>
      <c r="AL303" s="32"/>
      <c r="AM303" s="122"/>
      <c r="AN303" s="122"/>
      <c r="AO303" s="12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</row>
    <row r="304" spans="1:52" ht="15.75" customHeight="1">
      <c r="A304" s="122"/>
      <c r="B304" s="122"/>
      <c r="C304" s="122"/>
      <c r="D304" s="123"/>
      <c r="E304" s="123"/>
      <c r="F304" s="122"/>
      <c r="G304" s="122"/>
      <c r="H304" s="124"/>
      <c r="I304" s="122"/>
      <c r="J304" s="122"/>
      <c r="K304" s="122"/>
      <c r="L304" s="125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6"/>
      <c r="AE304" s="122"/>
      <c r="AF304" s="126"/>
      <c r="AG304" s="122"/>
      <c r="AH304" s="126"/>
      <c r="AI304" s="122"/>
      <c r="AJ304" s="32"/>
      <c r="AK304" s="122"/>
      <c r="AL304" s="32"/>
      <c r="AM304" s="122"/>
      <c r="AN304" s="122"/>
      <c r="AO304" s="12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</row>
    <row r="305" spans="1:52" ht="15.75" customHeight="1">
      <c r="A305" s="122"/>
      <c r="B305" s="122"/>
      <c r="C305" s="122"/>
      <c r="D305" s="123"/>
      <c r="E305" s="123"/>
      <c r="F305" s="122"/>
      <c r="G305" s="122"/>
      <c r="H305" s="124"/>
      <c r="I305" s="122"/>
      <c r="J305" s="122"/>
      <c r="K305" s="122"/>
      <c r="L305" s="125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6"/>
      <c r="AE305" s="122"/>
      <c r="AF305" s="126"/>
      <c r="AG305" s="122"/>
      <c r="AH305" s="126"/>
      <c r="AI305" s="122"/>
      <c r="AJ305" s="32"/>
      <c r="AK305" s="122"/>
      <c r="AL305" s="32"/>
      <c r="AM305" s="122"/>
      <c r="AN305" s="122"/>
      <c r="AO305" s="12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</row>
    <row r="306" spans="1:52" ht="15.75" customHeight="1">
      <c r="A306" s="122"/>
      <c r="B306" s="122"/>
      <c r="C306" s="122"/>
      <c r="D306" s="123"/>
      <c r="E306" s="123"/>
      <c r="F306" s="122"/>
      <c r="G306" s="122"/>
      <c r="H306" s="124"/>
      <c r="I306" s="122"/>
      <c r="J306" s="122"/>
      <c r="K306" s="122"/>
      <c r="L306" s="125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6"/>
      <c r="AE306" s="122"/>
      <c r="AF306" s="126"/>
      <c r="AG306" s="122"/>
      <c r="AH306" s="126"/>
      <c r="AI306" s="122"/>
      <c r="AJ306" s="32"/>
      <c r="AK306" s="122"/>
      <c r="AL306" s="32"/>
      <c r="AM306" s="122"/>
      <c r="AN306" s="122"/>
      <c r="AO306" s="12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</row>
    <row r="307" spans="1:52" ht="15.75" customHeight="1">
      <c r="A307" s="122"/>
      <c r="B307" s="122"/>
      <c r="C307" s="122"/>
      <c r="D307" s="123"/>
      <c r="E307" s="123"/>
      <c r="F307" s="122"/>
      <c r="G307" s="122"/>
      <c r="H307" s="124"/>
      <c r="I307" s="122"/>
      <c r="J307" s="122"/>
      <c r="K307" s="122"/>
      <c r="L307" s="125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6"/>
      <c r="AE307" s="122"/>
      <c r="AF307" s="126"/>
      <c r="AG307" s="122"/>
      <c r="AH307" s="126"/>
      <c r="AI307" s="122"/>
      <c r="AJ307" s="32"/>
      <c r="AK307" s="122"/>
      <c r="AL307" s="32"/>
      <c r="AM307" s="122"/>
      <c r="AN307" s="122"/>
      <c r="AO307" s="12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</row>
    <row r="308" spans="1:52" ht="15.75" customHeight="1">
      <c r="A308" s="122"/>
      <c r="B308" s="122"/>
      <c r="C308" s="122"/>
      <c r="D308" s="123"/>
      <c r="E308" s="123"/>
      <c r="F308" s="122"/>
      <c r="G308" s="122"/>
      <c r="H308" s="124"/>
      <c r="I308" s="122"/>
      <c r="J308" s="122"/>
      <c r="K308" s="122"/>
      <c r="L308" s="125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6"/>
      <c r="AE308" s="122"/>
      <c r="AF308" s="126"/>
      <c r="AG308" s="122"/>
      <c r="AH308" s="126"/>
      <c r="AI308" s="122"/>
      <c r="AJ308" s="32"/>
      <c r="AK308" s="122"/>
      <c r="AL308" s="32"/>
      <c r="AM308" s="122"/>
      <c r="AN308" s="122"/>
      <c r="AO308" s="12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</row>
    <row r="309" spans="1:52" ht="15.75" customHeight="1">
      <c r="A309" s="122"/>
      <c r="B309" s="122"/>
      <c r="C309" s="122"/>
      <c r="D309" s="123"/>
      <c r="E309" s="123"/>
      <c r="F309" s="122"/>
      <c r="G309" s="122"/>
      <c r="H309" s="124"/>
      <c r="I309" s="122"/>
      <c r="J309" s="122"/>
      <c r="K309" s="122"/>
      <c r="L309" s="125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6"/>
      <c r="AE309" s="122"/>
      <c r="AF309" s="126"/>
      <c r="AG309" s="122"/>
      <c r="AH309" s="126"/>
      <c r="AI309" s="122"/>
      <c r="AJ309" s="32"/>
      <c r="AK309" s="122"/>
      <c r="AL309" s="32"/>
      <c r="AM309" s="122"/>
      <c r="AN309" s="122"/>
      <c r="AO309" s="12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</row>
    <row r="310" spans="1:52" ht="15.75" customHeight="1">
      <c r="A310" s="122"/>
      <c r="B310" s="122"/>
      <c r="C310" s="122"/>
      <c r="D310" s="123"/>
      <c r="E310" s="123"/>
      <c r="F310" s="122"/>
      <c r="G310" s="122"/>
      <c r="H310" s="124"/>
      <c r="I310" s="122"/>
      <c r="J310" s="122"/>
      <c r="K310" s="122"/>
      <c r="L310" s="125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6"/>
      <c r="AE310" s="122"/>
      <c r="AF310" s="126"/>
      <c r="AG310" s="122"/>
      <c r="AH310" s="126"/>
      <c r="AI310" s="122"/>
      <c r="AJ310" s="32"/>
      <c r="AK310" s="122"/>
      <c r="AL310" s="32"/>
      <c r="AM310" s="122"/>
      <c r="AN310" s="122"/>
      <c r="AO310" s="12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</row>
    <row r="311" spans="1:52" ht="15.75" customHeight="1">
      <c r="A311" s="122"/>
      <c r="B311" s="122"/>
      <c r="C311" s="122"/>
      <c r="D311" s="123"/>
      <c r="E311" s="123"/>
      <c r="F311" s="122"/>
      <c r="G311" s="122"/>
      <c r="H311" s="124"/>
      <c r="I311" s="122"/>
      <c r="J311" s="122"/>
      <c r="K311" s="122"/>
      <c r="L311" s="125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6"/>
      <c r="AE311" s="122"/>
      <c r="AF311" s="126"/>
      <c r="AG311" s="122"/>
      <c r="AH311" s="126"/>
      <c r="AI311" s="122"/>
      <c r="AJ311" s="32"/>
      <c r="AK311" s="122"/>
      <c r="AL311" s="32"/>
      <c r="AM311" s="122"/>
      <c r="AN311" s="122"/>
      <c r="AO311" s="12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</row>
    <row r="312" spans="1:52" ht="15.75" customHeight="1">
      <c r="A312" s="122"/>
      <c r="B312" s="122"/>
      <c r="C312" s="122"/>
      <c r="D312" s="123"/>
      <c r="E312" s="123"/>
      <c r="F312" s="122"/>
      <c r="G312" s="122"/>
      <c r="H312" s="124"/>
      <c r="I312" s="122"/>
      <c r="J312" s="122"/>
      <c r="K312" s="122"/>
      <c r="L312" s="125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6"/>
      <c r="AE312" s="122"/>
      <c r="AF312" s="126"/>
      <c r="AG312" s="122"/>
      <c r="AH312" s="126"/>
      <c r="AI312" s="122"/>
      <c r="AJ312" s="32"/>
      <c r="AK312" s="122"/>
      <c r="AL312" s="32"/>
      <c r="AM312" s="122"/>
      <c r="AN312" s="122"/>
      <c r="AO312" s="12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</row>
    <row r="313" spans="1:52" ht="15.75" customHeight="1">
      <c r="A313" s="122"/>
      <c r="B313" s="122"/>
      <c r="C313" s="122"/>
      <c r="D313" s="123"/>
      <c r="E313" s="123"/>
      <c r="F313" s="122"/>
      <c r="G313" s="122"/>
      <c r="H313" s="124"/>
      <c r="I313" s="122"/>
      <c r="J313" s="122"/>
      <c r="K313" s="122"/>
      <c r="L313" s="125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6"/>
      <c r="AE313" s="122"/>
      <c r="AF313" s="126"/>
      <c r="AG313" s="122"/>
      <c r="AH313" s="126"/>
      <c r="AI313" s="122"/>
      <c r="AJ313" s="32"/>
      <c r="AK313" s="122"/>
      <c r="AL313" s="32"/>
      <c r="AM313" s="122"/>
      <c r="AN313" s="122"/>
      <c r="AO313" s="12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</row>
    <row r="314" spans="1:52" ht="15.75" customHeight="1">
      <c r="A314" s="122"/>
      <c r="B314" s="122"/>
      <c r="C314" s="122"/>
      <c r="D314" s="123"/>
      <c r="E314" s="123"/>
      <c r="F314" s="122"/>
      <c r="G314" s="122"/>
      <c r="H314" s="124"/>
      <c r="I314" s="122"/>
      <c r="J314" s="122"/>
      <c r="K314" s="122"/>
      <c r="L314" s="125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6"/>
      <c r="AE314" s="122"/>
      <c r="AF314" s="126"/>
      <c r="AG314" s="122"/>
      <c r="AH314" s="126"/>
      <c r="AI314" s="122"/>
      <c r="AJ314" s="32"/>
      <c r="AK314" s="122"/>
      <c r="AL314" s="32"/>
      <c r="AM314" s="122"/>
      <c r="AN314" s="122"/>
      <c r="AO314" s="12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</row>
    <row r="315" spans="1:52" ht="15.75" customHeight="1">
      <c r="A315" s="122"/>
      <c r="B315" s="122"/>
      <c r="C315" s="122"/>
      <c r="D315" s="123"/>
      <c r="E315" s="123"/>
      <c r="F315" s="122"/>
      <c r="G315" s="122"/>
      <c r="H315" s="124"/>
      <c r="I315" s="122"/>
      <c r="J315" s="122"/>
      <c r="K315" s="122"/>
      <c r="L315" s="125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6"/>
      <c r="AE315" s="122"/>
      <c r="AF315" s="126"/>
      <c r="AG315" s="122"/>
      <c r="AH315" s="126"/>
      <c r="AI315" s="122"/>
      <c r="AJ315" s="32"/>
      <c r="AK315" s="122"/>
      <c r="AL315" s="32"/>
      <c r="AM315" s="122"/>
      <c r="AN315" s="122"/>
      <c r="AO315" s="12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</row>
    <row r="316" spans="1:52" ht="15.75" customHeight="1">
      <c r="A316" s="122"/>
      <c r="B316" s="122"/>
      <c r="C316" s="122"/>
      <c r="D316" s="123"/>
      <c r="E316" s="123"/>
      <c r="F316" s="122"/>
      <c r="G316" s="122"/>
      <c r="H316" s="124"/>
      <c r="I316" s="122"/>
      <c r="J316" s="122"/>
      <c r="K316" s="122"/>
      <c r="L316" s="125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6"/>
      <c r="AE316" s="122"/>
      <c r="AF316" s="126"/>
      <c r="AG316" s="122"/>
      <c r="AH316" s="126"/>
      <c r="AI316" s="122"/>
      <c r="AJ316" s="32"/>
      <c r="AK316" s="122"/>
      <c r="AL316" s="32"/>
      <c r="AM316" s="122"/>
      <c r="AN316" s="122"/>
      <c r="AO316" s="12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</row>
    <row r="317" spans="1:52" ht="15.75" customHeight="1">
      <c r="A317" s="122"/>
      <c r="B317" s="122"/>
      <c r="C317" s="122"/>
      <c r="D317" s="123"/>
      <c r="E317" s="123"/>
      <c r="F317" s="122"/>
      <c r="G317" s="122"/>
      <c r="H317" s="124"/>
      <c r="I317" s="122"/>
      <c r="J317" s="122"/>
      <c r="K317" s="122"/>
      <c r="L317" s="125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6"/>
      <c r="AE317" s="122"/>
      <c r="AF317" s="126"/>
      <c r="AG317" s="122"/>
      <c r="AH317" s="126"/>
      <c r="AI317" s="122"/>
      <c r="AJ317" s="32"/>
      <c r="AK317" s="122"/>
      <c r="AL317" s="32"/>
      <c r="AM317" s="122"/>
      <c r="AN317" s="122"/>
      <c r="AO317" s="12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</row>
    <row r="318" spans="1:52" ht="15.75" customHeight="1">
      <c r="A318" s="122"/>
      <c r="B318" s="122"/>
      <c r="C318" s="122"/>
      <c r="D318" s="123"/>
      <c r="E318" s="123"/>
      <c r="F318" s="122"/>
      <c r="G318" s="122"/>
      <c r="H318" s="124"/>
      <c r="I318" s="122"/>
      <c r="J318" s="122"/>
      <c r="K318" s="122"/>
      <c r="L318" s="125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6"/>
      <c r="AE318" s="122"/>
      <c r="AF318" s="126"/>
      <c r="AG318" s="122"/>
      <c r="AH318" s="126"/>
      <c r="AI318" s="122"/>
      <c r="AJ318" s="32"/>
      <c r="AK318" s="122"/>
      <c r="AL318" s="32"/>
      <c r="AM318" s="122"/>
      <c r="AN318" s="122"/>
      <c r="AO318" s="12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</row>
    <row r="319" spans="1:52" ht="15.75" customHeight="1">
      <c r="A319" s="122"/>
      <c r="B319" s="122"/>
      <c r="C319" s="122"/>
      <c r="D319" s="123"/>
      <c r="E319" s="123"/>
      <c r="F319" s="122"/>
      <c r="G319" s="122"/>
      <c r="H319" s="124"/>
      <c r="I319" s="122"/>
      <c r="J319" s="122"/>
      <c r="K319" s="122"/>
      <c r="L319" s="125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6"/>
      <c r="AE319" s="122"/>
      <c r="AF319" s="126"/>
      <c r="AG319" s="122"/>
      <c r="AH319" s="126"/>
      <c r="AI319" s="122"/>
      <c r="AJ319" s="32"/>
      <c r="AK319" s="122"/>
      <c r="AL319" s="32"/>
      <c r="AM319" s="122"/>
      <c r="AN319" s="122"/>
      <c r="AO319" s="12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</row>
    <row r="320" spans="1:52" ht="15.75" customHeight="1">
      <c r="A320" s="122"/>
      <c r="B320" s="122"/>
      <c r="C320" s="122"/>
      <c r="D320" s="123"/>
      <c r="E320" s="123"/>
      <c r="F320" s="122"/>
      <c r="G320" s="122"/>
      <c r="H320" s="124"/>
      <c r="I320" s="122"/>
      <c r="J320" s="122"/>
      <c r="K320" s="122"/>
      <c r="L320" s="125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6"/>
      <c r="AE320" s="122"/>
      <c r="AF320" s="126"/>
      <c r="AG320" s="122"/>
      <c r="AH320" s="126"/>
      <c r="AI320" s="122"/>
      <c r="AJ320" s="32"/>
      <c r="AK320" s="122"/>
      <c r="AL320" s="32"/>
      <c r="AM320" s="122"/>
      <c r="AN320" s="122"/>
      <c r="AO320" s="12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</row>
    <row r="321" spans="1:52" ht="15.75" customHeight="1">
      <c r="A321" s="122"/>
      <c r="B321" s="122"/>
      <c r="C321" s="122"/>
      <c r="D321" s="123"/>
      <c r="E321" s="123"/>
      <c r="F321" s="122"/>
      <c r="G321" s="122"/>
      <c r="H321" s="124"/>
      <c r="I321" s="122"/>
      <c r="J321" s="122"/>
      <c r="K321" s="122"/>
      <c r="L321" s="125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6"/>
      <c r="AE321" s="122"/>
      <c r="AF321" s="126"/>
      <c r="AG321" s="122"/>
      <c r="AH321" s="126"/>
      <c r="AI321" s="122"/>
      <c r="AJ321" s="32"/>
      <c r="AK321" s="122"/>
      <c r="AL321" s="32"/>
      <c r="AM321" s="122"/>
      <c r="AN321" s="122"/>
      <c r="AO321" s="12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</row>
    <row r="322" spans="1:52" ht="15.75" customHeight="1">
      <c r="A322" s="122"/>
      <c r="B322" s="122"/>
      <c r="C322" s="122"/>
      <c r="D322" s="123"/>
      <c r="E322" s="123"/>
      <c r="F322" s="122"/>
      <c r="G322" s="122"/>
      <c r="H322" s="124"/>
      <c r="I322" s="122"/>
      <c r="J322" s="122"/>
      <c r="K322" s="122"/>
      <c r="L322" s="125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6"/>
      <c r="AE322" s="122"/>
      <c r="AF322" s="126"/>
      <c r="AG322" s="122"/>
      <c r="AH322" s="126"/>
      <c r="AI322" s="122"/>
      <c r="AJ322" s="32"/>
      <c r="AK322" s="122"/>
      <c r="AL322" s="32"/>
      <c r="AM322" s="122"/>
      <c r="AN322" s="122"/>
      <c r="AO322" s="12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</row>
    <row r="323" spans="1:52" ht="15.75" customHeight="1">
      <c r="A323" s="122"/>
      <c r="B323" s="122"/>
      <c r="C323" s="122"/>
      <c r="D323" s="123"/>
      <c r="E323" s="123"/>
      <c r="F323" s="122"/>
      <c r="G323" s="122"/>
      <c r="H323" s="124"/>
      <c r="I323" s="122"/>
      <c r="J323" s="122"/>
      <c r="K323" s="122"/>
      <c r="L323" s="125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6"/>
      <c r="AE323" s="122"/>
      <c r="AF323" s="126"/>
      <c r="AG323" s="122"/>
      <c r="AH323" s="126"/>
      <c r="AI323" s="122"/>
      <c r="AJ323" s="32"/>
      <c r="AK323" s="122"/>
      <c r="AL323" s="32"/>
      <c r="AM323" s="122"/>
      <c r="AN323" s="122"/>
      <c r="AO323" s="12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</row>
    <row r="324" spans="1:52" ht="15.75" customHeight="1">
      <c r="A324" s="122"/>
      <c r="B324" s="122"/>
      <c r="C324" s="122"/>
      <c r="D324" s="123"/>
      <c r="E324" s="123"/>
      <c r="F324" s="122"/>
      <c r="G324" s="122"/>
      <c r="H324" s="124"/>
      <c r="I324" s="122"/>
      <c r="J324" s="122"/>
      <c r="K324" s="122"/>
      <c r="L324" s="125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6"/>
      <c r="AE324" s="122"/>
      <c r="AF324" s="126"/>
      <c r="AG324" s="122"/>
      <c r="AH324" s="126"/>
      <c r="AI324" s="122"/>
      <c r="AJ324" s="32"/>
      <c r="AK324" s="122"/>
      <c r="AL324" s="32"/>
      <c r="AM324" s="122"/>
      <c r="AN324" s="122"/>
      <c r="AO324" s="12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</row>
    <row r="325" spans="1:52" ht="15.75" customHeight="1">
      <c r="A325" s="122"/>
      <c r="B325" s="122"/>
      <c r="C325" s="122"/>
      <c r="D325" s="123"/>
      <c r="E325" s="123"/>
      <c r="F325" s="122"/>
      <c r="G325" s="122"/>
      <c r="H325" s="124"/>
      <c r="I325" s="122"/>
      <c r="J325" s="122"/>
      <c r="K325" s="122"/>
      <c r="L325" s="125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6"/>
      <c r="AE325" s="122"/>
      <c r="AF325" s="126"/>
      <c r="AG325" s="122"/>
      <c r="AH325" s="126"/>
      <c r="AI325" s="122"/>
      <c r="AJ325" s="32"/>
      <c r="AK325" s="122"/>
      <c r="AL325" s="32"/>
      <c r="AM325" s="122"/>
      <c r="AN325" s="122"/>
      <c r="AO325" s="12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</row>
    <row r="326" spans="1:52" ht="15.75" customHeight="1">
      <c r="A326" s="122"/>
      <c r="B326" s="122"/>
      <c r="C326" s="122"/>
      <c r="D326" s="123"/>
      <c r="E326" s="123"/>
      <c r="F326" s="122"/>
      <c r="G326" s="122"/>
      <c r="H326" s="124"/>
      <c r="I326" s="122"/>
      <c r="J326" s="122"/>
      <c r="K326" s="122"/>
      <c r="L326" s="125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6"/>
      <c r="AE326" s="122"/>
      <c r="AF326" s="126"/>
      <c r="AG326" s="122"/>
      <c r="AH326" s="126"/>
      <c r="AI326" s="122"/>
      <c r="AJ326" s="32"/>
      <c r="AK326" s="122"/>
      <c r="AL326" s="32"/>
      <c r="AM326" s="122"/>
      <c r="AN326" s="122"/>
      <c r="AO326" s="12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</row>
    <row r="327" spans="1:52" ht="15.75" customHeight="1">
      <c r="A327" s="122"/>
      <c r="B327" s="122"/>
      <c r="C327" s="122"/>
      <c r="D327" s="123"/>
      <c r="E327" s="123"/>
      <c r="F327" s="122"/>
      <c r="G327" s="122"/>
      <c r="H327" s="124"/>
      <c r="I327" s="122"/>
      <c r="J327" s="122"/>
      <c r="K327" s="122"/>
      <c r="L327" s="125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6"/>
      <c r="AE327" s="122"/>
      <c r="AF327" s="126"/>
      <c r="AG327" s="122"/>
      <c r="AH327" s="126"/>
      <c r="AI327" s="122"/>
      <c r="AJ327" s="32"/>
      <c r="AK327" s="122"/>
      <c r="AL327" s="32"/>
      <c r="AM327" s="122"/>
      <c r="AN327" s="122"/>
      <c r="AO327" s="12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</row>
    <row r="328" spans="1:52" ht="15.75" customHeight="1">
      <c r="A328" s="122"/>
      <c r="B328" s="122"/>
      <c r="C328" s="122"/>
      <c r="D328" s="123"/>
      <c r="E328" s="123"/>
      <c r="F328" s="122"/>
      <c r="G328" s="122"/>
      <c r="H328" s="124"/>
      <c r="I328" s="122"/>
      <c r="J328" s="122"/>
      <c r="K328" s="122"/>
      <c r="L328" s="125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6"/>
      <c r="AE328" s="122"/>
      <c r="AF328" s="126"/>
      <c r="AG328" s="122"/>
      <c r="AH328" s="126"/>
      <c r="AI328" s="122"/>
      <c r="AJ328" s="32"/>
      <c r="AK328" s="122"/>
      <c r="AL328" s="32"/>
      <c r="AM328" s="122"/>
      <c r="AN328" s="122"/>
      <c r="AO328" s="12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</row>
    <row r="329" spans="1:52" ht="15.75" customHeight="1">
      <c r="A329" s="122"/>
      <c r="B329" s="122"/>
      <c r="C329" s="122"/>
      <c r="D329" s="123"/>
      <c r="E329" s="123"/>
      <c r="F329" s="122"/>
      <c r="G329" s="122"/>
      <c r="H329" s="124"/>
      <c r="I329" s="122"/>
      <c r="J329" s="122"/>
      <c r="K329" s="122"/>
      <c r="L329" s="125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6"/>
      <c r="AE329" s="122"/>
      <c r="AF329" s="126"/>
      <c r="AG329" s="122"/>
      <c r="AH329" s="126"/>
      <c r="AI329" s="122"/>
      <c r="AJ329" s="32"/>
      <c r="AK329" s="122"/>
      <c r="AL329" s="32"/>
      <c r="AM329" s="122"/>
      <c r="AN329" s="122"/>
      <c r="AO329" s="12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</row>
    <row r="330" spans="1:52" ht="15.75" customHeight="1">
      <c r="A330" s="122"/>
      <c r="B330" s="122"/>
      <c r="C330" s="122"/>
      <c r="D330" s="123"/>
      <c r="E330" s="123"/>
      <c r="F330" s="122"/>
      <c r="G330" s="122"/>
      <c r="H330" s="124"/>
      <c r="I330" s="122"/>
      <c r="J330" s="122"/>
      <c r="K330" s="122"/>
      <c r="L330" s="125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6"/>
      <c r="AE330" s="122"/>
      <c r="AF330" s="126"/>
      <c r="AG330" s="122"/>
      <c r="AH330" s="126"/>
      <c r="AI330" s="122"/>
      <c r="AJ330" s="32"/>
      <c r="AK330" s="122"/>
      <c r="AL330" s="32"/>
      <c r="AM330" s="122"/>
      <c r="AN330" s="122"/>
      <c r="AO330" s="12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</row>
    <row r="331" spans="1:52" ht="15.75" customHeight="1">
      <c r="A331" s="122"/>
      <c r="B331" s="122"/>
      <c r="C331" s="122"/>
      <c r="D331" s="123"/>
      <c r="E331" s="123"/>
      <c r="F331" s="122"/>
      <c r="G331" s="122"/>
      <c r="H331" s="124"/>
      <c r="I331" s="122"/>
      <c r="J331" s="122"/>
      <c r="K331" s="122"/>
      <c r="L331" s="125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6"/>
      <c r="AE331" s="122"/>
      <c r="AF331" s="126"/>
      <c r="AG331" s="122"/>
      <c r="AH331" s="126"/>
      <c r="AI331" s="122"/>
      <c r="AJ331" s="32"/>
      <c r="AK331" s="122"/>
      <c r="AL331" s="32"/>
      <c r="AM331" s="122"/>
      <c r="AN331" s="122"/>
      <c r="AO331" s="12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</row>
    <row r="332" spans="1:52" ht="15.75" customHeight="1">
      <c r="A332" s="122"/>
      <c r="B332" s="122"/>
      <c r="C332" s="122"/>
      <c r="D332" s="123"/>
      <c r="E332" s="123"/>
      <c r="F332" s="122"/>
      <c r="G332" s="122"/>
      <c r="H332" s="124"/>
      <c r="I332" s="122"/>
      <c r="J332" s="122"/>
      <c r="K332" s="122"/>
      <c r="L332" s="125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6"/>
      <c r="AE332" s="122"/>
      <c r="AF332" s="126"/>
      <c r="AG332" s="122"/>
      <c r="AH332" s="126"/>
      <c r="AI332" s="122"/>
      <c r="AJ332" s="32"/>
      <c r="AK332" s="122"/>
      <c r="AL332" s="32"/>
      <c r="AM332" s="122"/>
      <c r="AN332" s="122"/>
      <c r="AO332" s="12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</row>
    <row r="333" spans="1:52" ht="15.75" customHeight="1">
      <c r="A333" s="122"/>
      <c r="B333" s="122"/>
      <c r="C333" s="122"/>
      <c r="D333" s="123"/>
      <c r="E333" s="123"/>
      <c r="F333" s="122"/>
      <c r="G333" s="122"/>
      <c r="H333" s="124"/>
      <c r="I333" s="122"/>
      <c r="J333" s="122"/>
      <c r="K333" s="122"/>
      <c r="L333" s="125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6"/>
      <c r="AE333" s="122"/>
      <c r="AF333" s="126"/>
      <c r="AG333" s="122"/>
      <c r="AH333" s="126"/>
      <c r="AI333" s="122"/>
      <c r="AJ333" s="32"/>
      <c r="AK333" s="122"/>
      <c r="AL333" s="32"/>
      <c r="AM333" s="122"/>
      <c r="AN333" s="122"/>
      <c r="AO333" s="12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</row>
    <row r="334" spans="1:52" ht="15.75" customHeight="1">
      <c r="A334" s="122"/>
      <c r="B334" s="122"/>
      <c r="C334" s="122"/>
      <c r="D334" s="123"/>
      <c r="E334" s="123"/>
      <c r="F334" s="122"/>
      <c r="G334" s="122"/>
      <c r="H334" s="124"/>
      <c r="I334" s="122"/>
      <c r="J334" s="122"/>
      <c r="K334" s="122"/>
      <c r="L334" s="125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6"/>
      <c r="AE334" s="122"/>
      <c r="AF334" s="126"/>
      <c r="AG334" s="122"/>
      <c r="AH334" s="126"/>
      <c r="AI334" s="122"/>
      <c r="AJ334" s="32"/>
      <c r="AK334" s="122"/>
      <c r="AL334" s="32"/>
      <c r="AM334" s="122"/>
      <c r="AN334" s="122"/>
      <c r="AO334" s="12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</row>
    <row r="335" spans="1:52" ht="15.75" customHeight="1">
      <c r="A335" s="122"/>
      <c r="B335" s="122"/>
      <c r="C335" s="122"/>
      <c r="D335" s="123"/>
      <c r="E335" s="123"/>
      <c r="F335" s="122"/>
      <c r="G335" s="122"/>
      <c r="H335" s="124"/>
      <c r="I335" s="122"/>
      <c r="J335" s="122"/>
      <c r="K335" s="122"/>
      <c r="L335" s="125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6"/>
      <c r="AE335" s="122"/>
      <c r="AF335" s="126"/>
      <c r="AG335" s="122"/>
      <c r="AH335" s="126"/>
      <c r="AI335" s="122"/>
      <c r="AJ335" s="32"/>
      <c r="AK335" s="122"/>
      <c r="AL335" s="32"/>
      <c r="AM335" s="122"/>
      <c r="AN335" s="122"/>
      <c r="AO335" s="12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</row>
    <row r="336" spans="1:52" ht="15.75" customHeight="1">
      <c r="A336" s="122"/>
      <c r="B336" s="122"/>
      <c r="C336" s="122"/>
      <c r="D336" s="123"/>
      <c r="E336" s="123"/>
      <c r="F336" s="122"/>
      <c r="G336" s="122"/>
      <c r="H336" s="124"/>
      <c r="I336" s="122"/>
      <c r="J336" s="122"/>
      <c r="K336" s="122"/>
      <c r="L336" s="125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6"/>
      <c r="AE336" s="122"/>
      <c r="AF336" s="126"/>
      <c r="AG336" s="122"/>
      <c r="AH336" s="126"/>
      <c r="AI336" s="122"/>
      <c r="AJ336" s="32"/>
      <c r="AK336" s="122"/>
      <c r="AL336" s="32"/>
      <c r="AM336" s="122"/>
      <c r="AN336" s="122"/>
      <c r="AO336" s="12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</row>
    <row r="337" spans="1:52" ht="15.75" customHeight="1">
      <c r="A337" s="122"/>
      <c r="B337" s="122"/>
      <c r="C337" s="122"/>
      <c r="D337" s="123"/>
      <c r="E337" s="123"/>
      <c r="F337" s="122"/>
      <c r="G337" s="122"/>
      <c r="H337" s="124"/>
      <c r="I337" s="122"/>
      <c r="J337" s="122"/>
      <c r="K337" s="122"/>
      <c r="L337" s="125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6"/>
      <c r="AE337" s="122"/>
      <c r="AF337" s="126"/>
      <c r="AG337" s="122"/>
      <c r="AH337" s="126"/>
      <c r="AI337" s="122"/>
      <c r="AJ337" s="32"/>
      <c r="AK337" s="122"/>
      <c r="AL337" s="32"/>
      <c r="AM337" s="122"/>
      <c r="AN337" s="122"/>
      <c r="AO337" s="12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</row>
    <row r="338" spans="1:52" ht="15.75" customHeight="1">
      <c r="A338" s="122"/>
      <c r="B338" s="122"/>
      <c r="C338" s="122"/>
      <c r="D338" s="123"/>
      <c r="E338" s="123"/>
      <c r="F338" s="122"/>
      <c r="G338" s="122"/>
      <c r="H338" s="124"/>
      <c r="I338" s="122"/>
      <c r="J338" s="122"/>
      <c r="K338" s="122"/>
      <c r="L338" s="125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6"/>
      <c r="AE338" s="122"/>
      <c r="AF338" s="126"/>
      <c r="AG338" s="122"/>
      <c r="AH338" s="126"/>
      <c r="AI338" s="122"/>
      <c r="AJ338" s="32"/>
      <c r="AK338" s="122"/>
      <c r="AL338" s="32"/>
      <c r="AM338" s="122"/>
      <c r="AN338" s="122"/>
      <c r="AO338" s="12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</row>
    <row r="339" spans="1:52" ht="15.75" customHeight="1">
      <c r="A339" s="122"/>
      <c r="B339" s="122"/>
      <c r="C339" s="122"/>
      <c r="D339" s="123"/>
      <c r="E339" s="123"/>
      <c r="F339" s="122"/>
      <c r="G339" s="122"/>
      <c r="H339" s="124"/>
      <c r="I339" s="122"/>
      <c r="J339" s="122"/>
      <c r="K339" s="122"/>
      <c r="L339" s="125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6"/>
      <c r="AE339" s="122"/>
      <c r="AF339" s="126"/>
      <c r="AG339" s="122"/>
      <c r="AH339" s="126"/>
      <c r="AI339" s="122"/>
      <c r="AJ339" s="32"/>
      <c r="AK339" s="122"/>
      <c r="AL339" s="32"/>
      <c r="AM339" s="122"/>
      <c r="AN339" s="122"/>
      <c r="AO339" s="12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</row>
    <row r="340" spans="1:52" ht="15.75" customHeight="1">
      <c r="A340" s="122"/>
      <c r="B340" s="122"/>
      <c r="C340" s="122"/>
      <c r="D340" s="123"/>
      <c r="E340" s="123"/>
      <c r="F340" s="122"/>
      <c r="G340" s="122"/>
      <c r="H340" s="124"/>
      <c r="I340" s="122"/>
      <c r="J340" s="122"/>
      <c r="K340" s="122"/>
      <c r="L340" s="125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6"/>
      <c r="AE340" s="122"/>
      <c r="AF340" s="126"/>
      <c r="AG340" s="122"/>
      <c r="AH340" s="126"/>
      <c r="AI340" s="122"/>
      <c r="AJ340" s="32"/>
      <c r="AK340" s="122"/>
      <c r="AL340" s="32"/>
      <c r="AM340" s="122"/>
      <c r="AN340" s="122"/>
      <c r="AO340" s="12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</row>
    <row r="341" spans="1:52" ht="15.75" customHeight="1">
      <c r="A341" s="122"/>
      <c r="B341" s="122"/>
      <c r="C341" s="122"/>
      <c r="D341" s="123"/>
      <c r="E341" s="123"/>
      <c r="F341" s="122"/>
      <c r="G341" s="122"/>
      <c r="H341" s="124"/>
      <c r="I341" s="122"/>
      <c r="J341" s="122"/>
      <c r="K341" s="122"/>
      <c r="L341" s="125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6"/>
      <c r="AE341" s="122"/>
      <c r="AF341" s="126"/>
      <c r="AG341" s="122"/>
      <c r="AH341" s="126"/>
      <c r="AI341" s="122"/>
      <c r="AJ341" s="32"/>
      <c r="AK341" s="122"/>
      <c r="AL341" s="32"/>
      <c r="AM341" s="122"/>
      <c r="AN341" s="122"/>
      <c r="AO341" s="12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</row>
    <row r="342" spans="1:52" ht="15.75" customHeight="1">
      <c r="A342" s="122"/>
      <c r="B342" s="122"/>
      <c r="C342" s="122"/>
      <c r="D342" s="123"/>
      <c r="E342" s="123"/>
      <c r="F342" s="122"/>
      <c r="G342" s="122"/>
      <c r="H342" s="124"/>
      <c r="I342" s="122"/>
      <c r="J342" s="122"/>
      <c r="K342" s="122"/>
      <c r="L342" s="125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6"/>
      <c r="AE342" s="122"/>
      <c r="AF342" s="126"/>
      <c r="AG342" s="122"/>
      <c r="AH342" s="126"/>
      <c r="AI342" s="122"/>
      <c r="AJ342" s="32"/>
      <c r="AK342" s="122"/>
      <c r="AL342" s="32"/>
      <c r="AM342" s="122"/>
      <c r="AN342" s="122"/>
      <c r="AO342" s="12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</row>
    <row r="343" spans="1:52" ht="15.75" customHeight="1">
      <c r="A343" s="122"/>
      <c r="B343" s="122"/>
      <c r="C343" s="122"/>
      <c r="D343" s="123"/>
      <c r="E343" s="123"/>
      <c r="F343" s="122"/>
      <c r="G343" s="122"/>
      <c r="H343" s="124"/>
      <c r="I343" s="122"/>
      <c r="J343" s="122"/>
      <c r="K343" s="122"/>
      <c r="L343" s="125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6"/>
      <c r="AE343" s="122"/>
      <c r="AF343" s="126"/>
      <c r="AG343" s="122"/>
      <c r="AH343" s="126"/>
      <c r="AI343" s="122"/>
      <c r="AJ343" s="32"/>
      <c r="AK343" s="122"/>
      <c r="AL343" s="32"/>
      <c r="AM343" s="122"/>
      <c r="AN343" s="122"/>
      <c r="AO343" s="12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</row>
    <row r="344" spans="1:52" ht="15.75" customHeight="1">
      <c r="A344" s="122"/>
      <c r="B344" s="122"/>
      <c r="C344" s="122"/>
      <c r="D344" s="123"/>
      <c r="E344" s="123"/>
      <c r="F344" s="122"/>
      <c r="G344" s="122"/>
      <c r="H344" s="124"/>
      <c r="I344" s="122"/>
      <c r="J344" s="122"/>
      <c r="K344" s="122"/>
      <c r="L344" s="125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6"/>
      <c r="AE344" s="122"/>
      <c r="AF344" s="126"/>
      <c r="AG344" s="122"/>
      <c r="AH344" s="126"/>
      <c r="AI344" s="122"/>
      <c r="AJ344" s="32"/>
      <c r="AK344" s="122"/>
      <c r="AL344" s="32"/>
      <c r="AM344" s="122"/>
      <c r="AN344" s="122"/>
      <c r="AO344" s="12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</row>
    <row r="345" spans="1:52" ht="15.75" customHeight="1">
      <c r="A345" s="122"/>
      <c r="B345" s="122"/>
      <c r="C345" s="122"/>
      <c r="D345" s="123"/>
      <c r="E345" s="123"/>
      <c r="F345" s="122"/>
      <c r="G345" s="122"/>
      <c r="H345" s="124"/>
      <c r="I345" s="122"/>
      <c r="J345" s="122"/>
      <c r="K345" s="122"/>
      <c r="L345" s="125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6"/>
      <c r="AE345" s="122"/>
      <c r="AF345" s="126"/>
      <c r="AG345" s="122"/>
      <c r="AH345" s="126"/>
      <c r="AI345" s="122"/>
      <c r="AJ345" s="32"/>
      <c r="AK345" s="122"/>
      <c r="AL345" s="32"/>
      <c r="AM345" s="122"/>
      <c r="AN345" s="122"/>
      <c r="AO345" s="12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</row>
    <row r="346" spans="1:52" ht="15.75" customHeight="1">
      <c r="A346" s="122"/>
      <c r="B346" s="122"/>
      <c r="C346" s="122"/>
      <c r="D346" s="123"/>
      <c r="E346" s="123"/>
      <c r="F346" s="122"/>
      <c r="G346" s="122"/>
      <c r="H346" s="124"/>
      <c r="I346" s="122"/>
      <c r="J346" s="122"/>
      <c r="K346" s="122"/>
      <c r="L346" s="125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6"/>
      <c r="AE346" s="122"/>
      <c r="AF346" s="126"/>
      <c r="AG346" s="122"/>
      <c r="AH346" s="126"/>
      <c r="AI346" s="122"/>
      <c r="AJ346" s="32"/>
      <c r="AK346" s="122"/>
      <c r="AL346" s="32"/>
      <c r="AM346" s="122"/>
      <c r="AN346" s="122"/>
      <c r="AO346" s="12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</row>
    <row r="347" spans="1:52" ht="15.75" customHeight="1">
      <c r="A347" s="122"/>
      <c r="B347" s="122"/>
      <c r="C347" s="122"/>
      <c r="D347" s="123"/>
      <c r="E347" s="123"/>
      <c r="F347" s="122"/>
      <c r="G347" s="122"/>
      <c r="H347" s="124"/>
      <c r="I347" s="122"/>
      <c r="J347" s="122"/>
      <c r="K347" s="122"/>
      <c r="L347" s="125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6"/>
      <c r="AE347" s="122"/>
      <c r="AF347" s="126"/>
      <c r="AG347" s="122"/>
      <c r="AH347" s="126"/>
      <c r="AI347" s="122"/>
      <c r="AJ347" s="32"/>
      <c r="AK347" s="122"/>
      <c r="AL347" s="32"/>
      <c r="AM347" s="122"/>
      <c r="AN347" s="122"/>
      <c r="AO347" s="12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</row>
    <row r="348" spans="1:52" ht="15.75" customHeight="1">
      <c r="A348" s="122"/>
      <c r="B348" s="122"/>
      <c r="C348" s="122"/>
      <c r="D348" s="123"/>
      <c r="E348" s="123"/>
      <c r="F348" s="122"/>
      <c r="G348" s="122"/>
      <c r="H348" s="124"/>
      <c r="I348" s="122"/>
      <c r="J348" s="122"/>
      <c r="K348" s="122"/>
      <c r="L348" s="125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6"/>
      <c r="AE348" s="122"/>
      <c r="AF348" s="126"/>
      <c r="AG348" s="122"/>
      <c r="AH348" s="126"/>
      <c r="AI348" s="122"/>
      <c r="AJ348" s="32"/>
      <c r="AK348" s="122"/>
      <c r="AL348" s="32"/>
      <c r="AM348" s="122"/>
      <c r="AN348" s="122"/>
      <c r="AO348" s="12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</row>
    <row r="349" spans="1:52" ht="15.75" customHeight="1">
      <c r="A349" s="122"/>
      <c r="B349" s="122"/>
      <c r="C349" s="122"/>
      <c r="D349" s="123"/>
      <c r="E349" s="123"/>
      <c r="F349" s="122"/>
      <c r="G349" s="122"/>
      <c r="H349" s="124"/>
      <c r="I349" s="122"/>
      <c r="J349" s="122"/>
      <c r="K349" s="122"/>
      <c r="L349" s="125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6"/>
      <c r="AE349" s="122"/>
      <c r="AF349" s="126"/>
      <c r="AG349" s="122"/>
      <c r="AH349" s="126"/>
      <c r="AI349" s="122"/>
      <c r="AJ349" s="32"/>
      <c r="AK349" s="122"/>
      <c r="AL349" s="32"/>
      <c r="AM349" s="122"/>
      <c r="AN349" s="122"/>
      <c r="AO349" s="12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</row>
    <row r="350" spans="1:52" ht="15.75" customHeight="1">
      <c r="A350" s="122"/>
      <c r="B350" s="122"/>
      <c r="C350" s="122"/>
      <c r="D350" s="123"/>
      <c r="E350" s="123"/>
      <c r="F350" s="122"/>
      <c r="G350" s="122"/>
      <c r="H350" s="124"/>
      <c r="I350" s="122"/>
      <c r="J350" s="122"/>
      <c r="K350" s="122"/>
      <c r="L350" s="125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6"/>
      <c r="AE350" s="122"/>
      <c r="AF350" s="126"/>
      <c r="AG350" s="122"/>
      <c r="AH350" s="126"/>
      <c r="AI350" s="122"/>
      <c r="AJ350" s="32"/>
      <c r="AK350" s="122"/>
      <c r="AL350" s="32"/>
      <c r="AM350" s="122"/>
      <c r="AN350" s="122"/>
      <c r="AO350" s="12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</row>
    <row r="351" spans="1:52" ht="15.75" customHeight="1">
      <c r="A351" s="122"/>
      <c r="B351" s="122"/>
      <c r="C351" s="122"/>
      <c r="D351" s="123"/>
      <c r="E351" s="123"/>
      <c r="F351" s="122"/>
      <c r="G351" s="122"/>
      <c r="H351" s="124"/>
      <c r="I351" s="122"/>
      <c r="J351" s="122"/>
      <c r="K351" s="122"/>
      <c r="L351" s="125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6"/>
      <c r="AE351" s="122"/>
      <c r="AF351" s="126"/>
      <c r="AG351" s="122"/>
      <c r="AH351" s="126"/>
      <c r="AI351" s="122"/>
      <c r="AJ351" s="32"/>
      <c r="AK351" s="122"/>
      <c r="AL351" s="32"/>
      <c r="AM351" s="122"/>
      <c r="AN351" s="122"/>
      <c r="AO351" s="12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</row>
    <row r="352" spans="1:52" ht="15.75" customHeight="1">
      <c r="A352" s="122"/>
      <c r="B352" s="122"/>
      <c r="C352" s="122"/>
      <c r="D352" s="123"/>
      <c r="E352" s="123"/>
      <c r="F352" s="122"/>
      <c r="G352" s="122"/>
      <c r="H352" s="124"/>
      <c r="I352" s="122"/>
      <c r="J352" s="122"/>
      <c r="K352" s="122"/>
      <c r="L352" s="125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6"/>
      <c r="AE352" s="122"/>
      <c r="AF352" s="126"/>
      <c r="AG352" s="122"/>
      <c r="AH352" s="126"/>
      <c r="AI352" s="122"/>
      <c r="AJ352" s="32"/>
      <c r="AK352" s="122"/>
      <c r="AL352" s="32"/>
      <c r="AM352" s="122"/>
      <c r="AN352" s="122"/>
      <c r="AO352" s="12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</row>
    <row r="353" spans="1:52" ht="15.75" customHeight="1">
      <c r="A353" s="122"/>
      <c r="B353" s="122"/>
      <c r="C353" s="122"/>
      <c r="D353" s="123"/>
      <c r="E353" s="123"/>
      <c r="F353" s="122"/>
      <c r="G353" s="122"/>
      <c r="H353" s="124"/>
      <c r="I353" s="122"/>
      <c r="J353" s="122"/>
      <c r="K353" s="122"/>
      <c r="L353" s="125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6"/>
      <c r="AE353" s="122"/>
      <c r="AF353" s="126"/>
      <c r="AG353" s="122"/>
      <c r="AH353" s="126"/>
      <c r="AI353" s="122"/>
      <c r="AJ353" s="32"/>
      <c r="AK353" s="122"/>
      <c r="AL353" s="32"/>
      <c r="AM353" s="122"/>
      <c r="AN353" s="122"/>
      <c r="AO353" s="12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</row>
    <row r="354" spans="1:52" ht="15.75" customHeight="1">
      <c r="A354" s="122"/>
      <c r="B354" s="122"/>
      <c r="C354" s="122"/>
      <c r="D354" s="123"/>
      <c r="E354" s="123"/>
      <c r="F354" s="122"/>
      <c r="G354" s="122"/>
      <c r="H354" s="124"/>
      <c r="I354" s="122"/>
      <c r="J354" s="122"/>
      <c r="K354" s="122"/>
      <c r="L354" s="125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6"/>
      <c r="AE354" s="122"/>
      <c r="AF354" s="126"/>
      <c r="AG354" s="122"/>
      <c r="AH354" s="126"/>
      <c r="AI354" s="122"/>
      <c r="AJ354" s="32"/>
      <c r="AK354" s="122"/>
      <c r="AL354" s="32"/>
      <c r="AM354" s="122"/>
      <c r="AN354" s="122"/>
      <c r="AO354" s="12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</row>
    <row r="355" spans="1:52" ht="15.75" customHeight="1">
      <c r="A355" s="122"/>
      <c r="B355" s="122"/>
      <c r="C355" s="122"/>
      <c r="D355" s="123"/>
      <c r="E355" s="123"/>
      <c r="F355" s="122"/>
      <c r="G355" s="122"/>
      <c r="H355" s="124"/>
      <c r="I355" s="122"/>
      <c r="J355" s="122"/>
      <c r="K355" s="122"/>
      <c r="L355" s="125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6"/>
      <c r="AE355" s="122"/>
      <c r="AF355" s="126"/>
      <c r="AG355" s="122"/>
      <c r="AH355" s="126"/>
      <c r="AI355" s="122"/>
      <c r="AJ355" s="32"/>
      <c r="AK355" s="122"/>
      <c r="AL355" s="32"/>
      <c r="AM355" s="122"/>
      <c r="AN355" s="122"/>
      <c r="AO355" s="12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</row>
    <row r="356" spans="1:52" ht="15.75" customHeight="1">
      <c r="A356" s="122"/>
      <c r="B356" s="122"/>
      <c r="C356" s="122"/>
      <c r="D356" s="123"/>
      <c r="E356" s="123"/>
      <c r="F356" s="122"/>
      <c r="G356" s="122"/>
      <c r="H356" s="124"/>
      <c r="I356" s="122"/>
      <c r="J356" s="122"/>
      <c r="K356" s="122"/>
      <c r="L356" s="125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6"/>
      <c r="AE356" s="122"/>
      <c r="AF356" s="126"/>
      <c r="AG356" s="122"/>
      <c r="AH356" s="126"/>
      <c r="AI356" s="122"/>
      <c r="AJ356" s="32"/>
      <c r="AK356" s="122"/>
      <c r="AL356" s="32"/>
      <c r="AM356" s="122"/>
      <c r="AN356" s="122"/>
      <c r="AO356" s="12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</row>
    <row r="357" spans="1:52" ht="15.75" customHeight="1">
      <c r="A357" s="122"/>
      <c r="B357" s="122"/>
      <c r="C357" s="122"/>
      <c r="D357" s="123"/>
      <c r="E357" s="123"/>
      <c r="F357" s="122"/>
      <c r="G357" s="122"/>
      <c r="H357" s="124"/>
      <c r="I357" s="122"/>
      <c r="J357" s="122"/>
      <c r="K357" s="122"/>
      <c r="L357" s="125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6"/>
      <c r="AE357" s="122"/>
      <c r="AF357" s="126"/>
      <c r="AG357" s="122"/>
      <c r="AH357" s="126"/>
      <c r="AI357" s="122"/>
      <c r="AJ357" s="32"/>
      <c r="AK357" s="122"/>
      <c r="AL357" s="32"/>
      <c r="AM357" s="122"/>
      <c r="AN357" s="122"/>
      <c r="AO357" s="12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</row>
    <row r="358" spans="1:52" ht="15.75" customHeight="1">
      <c r="A358" s="122"/>
      <c r="B358" s="122"/>
      <c r="C358" s="122"/>
      <c r="D358" s="123"/>
      <c r="E358" s="123"/>
      <c r="F358" s="122"/>
      <c r="G358" s="122"/>
      <c r="H358" s="124"/>
      <c r="I358" s="122"/>
      <c r="J358" s="122"/>
      <c r="K358" s="122"/>
      <c r="L358" s="125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6"/>
      <c r="AE358" s="122"/>
      <c r="AF358" s="126"/>
      <c r="AG358" s="122"/>
      <c r="AH358" s="126"/>
      <c r="AI358" s="122"/>
      <c r="AJ358" s="32"/>
      <c r="AK358" s="122"/>
      <c r="AL358" s="32"/>
      <c r="AM358" s="122"/>
      <c r="AN358" s="122"/>
      <c r="AO358" s="12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</row>
    <row r="359" spans="1:52" ht="15.75" customHeight="1">
      <c r="A359" s="122"/>
      <c r="B359" s="122"/>
      <c r="C359" s="122"/>
      <c r="D359" s="123"/>
      <c r="E359" s="123"/>
      <c r="F359" s="122"/>
      <c r="G359" s="122"/>
      <c r="H359" s="124"/>
      <c r="I359" s="122"/>
      <c r="J359" s="122"/>
      <c r="K359" s="122"/>
      <c r="L359" s="125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6"/>
      <c r="AE359" s="122"/>
      <c r="AF359" s="126"/>
      <c r="AG359" s="122"/>
      <c r="AH359" s="126"/>
      <c r="AI359" s="122"/>
      <c r="AJ359" s="32"/>
      <c r="AK359" s="122"/>
      <c r="AL359" s="32"/>
      <c r="AM359" s="122"/>
      <c r="AN359" s="122"/>
      <c r="AO359" s="12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</row>
    <row r="360" spans="1:52" ht="15.75" customHeight="1">
      <c r="A360" s="122"/>
      <c r="B360" s="122"/>
      <c r="C360" s="122"/>
      <c r="D360" s="123"/>
      <c r="E360" s="123"/>
      <c r="F360" s="122"/>
      <c r="G360" s="122"/>
      <c r="H360" s="124"/>
      <c r="I360" s="122"/>
      <c r="J360" s="122"/>
      <c r="K360" s="122"/>
      <c r="L360" s="125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6"/>
      <c r="AE360" s="122"/>
      <c r="AF360" s="126"/>
      <c r="AG360" s="122"/>
      <c r="AH360" s="126"/>
      <c r="AI360" s="122"/>
      <c r="AJ360" s="32"/>
      <c r="AK360" s="122"/>
      <c r="AL360" s="32"/>
      <c r="AM360" s="122"/>
      <c r="AN360" s="122"/>
      <c r="AO360" s="12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</row>
    <row r="361" spans="1:52" ht="15.75" customHeight="1">
      <c r="A361" s="122"/>
      <c r="B361" s="122"/>
      <c r="C361" s="122"/>
      <c r="D361" s="123"/>
      <c r="E361" s="123"/>
      <c r="F361" s="122"/>
      <c r="G361" s="122"/>
      <c r="H361" s="124"/>
      <c r="I361" s="122"/>
      <c r="J361" s="122"/>
      <c r="K361" s="122"/>
      <c r="L361" s="125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6"/>
      <c r="AE361" s="122"/>
      <c r="AF361" s="126"/>
      <c r="AG361" s="122"/>
      <c r="AH361" s="126"/>
      <c r="AI361" s="122"/>
      <c r="AJ361" s="32"/>
      <c r="AK361" s="122"/>
      <c r="AL361" s="32"/>
      <c r="AM361" s="122"/>
      <c r="AN361" s="122"/>
      <c r="AO361" s="12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</row>
    <row r="362" spans="1:52" ht="15.75" customHeight="1">
      <c r="A362" s="122"/>
      <c r="B362" s="122"/>
      <c r="C362" s="122"/>
      <c r="D362" s="123"/>
      <c r="E362" s="123"/>
      <c r="F362" s="122"/>
      <c r="G362" s="122"/>
      <c r="H362" s="124"/>
      <c r="I362" s="122"/>
      <c r="J362" s="122"/>
      <c r="K362" s="122"/>
      <c r="L362" s="125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6"/>
      <c r="AE362" s="122"/>
      <c r="AF362" s="126"/>
      <c r="AG362" s="122"/>
      <c r="AH362" s="126"/>
      <c r="AI362" s="122"/>
      <c r="AJ362" s="32"/>
      <c r="AK362" s="122"/>
      <c r="AL362" s="32"/>
      <c r="AM362" s="122"/>
      <c r="AN362" s="122"/>
      <c r="AO362" s="12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</row>
    <row r="363" spans="1:52" ht="15.75" customHeight="1">
      <c r="A363" s="122"/>
      <c r="B363" s="122"/>
      <c r="C363" s="122"/>
      <c r="D363" s="123"/>
      <c r="E363" s="123"/>
      <c r="F363" s="122"/>
      <c r="G363" s="122"/>
      <c r="H363" s="124"/>
      <c r="I363" s="122"/>
      <c r="J363" s="122"/>
      <c r="K363" s="122"/>
      <c r="L363" s="125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6"/>
      <c r="AE363" s="122"/>
      <c r="AF363" s="126"/>
      <c r="AG363" s="122"/>
      <c r="AH363" s="126"/>
      <c r="AI363" s="122"/>
      <c r="AJ363" s="32"/>
      <c r="AK363" s="122"/>
      <c r="AL363" s="32"/>
      <c r="AM363" s="122"/>
      <c r="AN363" s="122"/>
      <c r="AO363" s="12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</row>
    <row r="364" spans="1:52" ht="15.75" customHeight="1">
      <c r="A364" s="122"/>
      <c r="B364" s="122"/>
      <c r="C364" s="122"/>
      <c r="D364" s="123"/>
      <c r="E364" s="123"/>
      <c r="F364" s="122"/>
      <c r="G364" s="122"/>
      <c r="H364" s="124"/>
      <c r="I364" s="122"/>
      <c r="J364" s="122"/>
      <c r="K364" s="122"/>
      <c r="L364" s="125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6"/>
      <c r="AE364" s="122"/>
      <c r="AF364" s="126"/>
      <c r="AG364" s="122"/>
      <c r="AH364" s="126"/>
      <c r="AI364" s="122"/>
      <c r="AJ364" s="32"/>
      <c r="AK364" s="122"/>
      <c r="AL364" s="32"/>
      <c r="AM364" s="122"/>
      <c r="AN364" s="122"/>
      <c r="AO364" s="12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</row>
    <row r="365" spans="1:52" ht="15.75" customHeight="1">
      <c r="A365" s="122"/>
      <c r="B365" s="122"/>
      <c r="C365" s="122"/>
      <c r="D365" s="123"/>
      <c r="E365" s="123"/>
      <c r="F365" s="122"/>
      <c r="G365" s="122"/>
      <c r="H365" s="124"/>
      <c r="I365" s="122"/>
      <c r="J365" s="122"/>
      <c r="K365" s="122"/>
      <c r="L365" s="125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6"/>
      <c r="AE365" s="122"/>
      <c r="AF365" s="126"/>
      <c r="AG365" s="122"/>
      <c r="AH365" s="126"/>
      <c r="AI365" s="122"/>
      <c r="AJ365" s="32"/>
      <c r="AK365" s="122"/>
      <c r="AL365" s="32"/>
      <c r="AM365" s="122"/>
      <c r="AN365" s="122"/>
      <c r="AO365" s="12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</row>
    <row r="366" spans="1:52" ht="15.75" customHeight="1">
      <c r="A366" s="122"/>
      <c r="B366" s="122"/>
      <c r="C366" s="122"/>
      <c r="D366" s="123"/>
      <c r="E366" s="123"/>
      <c r="F366" s="122"/>
      <c r="G366" s="122"/>
      <c r="H366" s="124"/>
      <c r="I366" s="122"/>
      <c r="J366" s="122"/>
      <c r="K366" s="122"/>
      <c r="L366" s="125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6"/>
      <c r="AE366" s="122"/>
      <c r="AF366" s="126"/>
      <c r="AG366" s="122"/>
      <c r="AH366" s="126"/>
      <c r="AI366" s="122"/>
      <c r="AJ366" s="32"/>
      <c r="AK366" s="122"/>
      <c r="AL366" s="32"/>
      <c r="AM366" s="122"/>
      <c r="AN366" s="122"/>
      <c r="AO366" s="12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</row>
    <row r="367" spans="1:52" ht="15.75" customHeight="1">
      <c r="A367" s="122"/>
      <c r="B367" s="122"/>
      <c r="C367" s="122"/>
      <c r="D367" s="123"/>
      <c r="E367" s="123"/>
      <c r="F367" s="122"/>
      <c r="G367" s="122"/>
      <c r="H367" s="124"/>
      <c r="I367" s="122"/>
      <c r="J367" s="122"/>
      <c r="K367" s="122"/>
      <c r="L367" s="125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6"/>
      <c r="AE367" s="122"/>
      <c r="AF367" s="126"/>
      <c r="AG367" s="122"/>
      <c r="AH367" s="126"/>
      <c r="AI367" s="122"/>
      <c r="AJ367" s="32"/>
      <c r="AK367" s="122"/>
      <c r="AL367" s="32"/>
      <c r="AM367" s="122"/>
      <c r="AN367" s="122"/>
      <c r="AO367" s="12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</row>
    <row r="368" spans="1:52" ht="15.75" customHeight="1">
      <c r="A368" s="122"/>
      <c r="B368" s="122"/>
      <c r="C368" s="122"/>
      <c r="D368" s="123"/>
      <c r="E368" s="123"/>
      <c r="F368" s="122"/>
      <c r="G368" s="122"/>
      <c r="H368" s="124"/>
      <c r="I368" s="122"/>
      <c r="J368" s="122"/>
      <c r="K368" s="122"/>
      <c r="L368" s="125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6"/>
      <c r="AE368" s="122"/>
      <c r="AF368" s="126"/>
      <c r="AG368" s="122"/>
      <c r="AH368" s="126"/>
      <c r="AI368" s="122"/>
      <c r="AJ368" s="32"/>
      <c r="AK368" s="122"/>
      <c r="AL368" s="32"/>
      <c r="AM368" s="122"/>
      <c r="AN368" s="122"/>
      <c r="AO368" s="12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</row>
    <row r="369" spans="1:52" ht="15.75" customHeight="1">
      <c r="A369" s="122"/>
      <c r="B369" s="122"/>
      <c r="C369" s="122"/>
      <c r="D369" s="123"/>
      <c r="E369" s="123"/>
      <c r="F369" s="122"/>
      <c r="G369" s="122"/>
      <c r="H369" s="124"/>
      <c r="I369" s="122"/>
      <c r="J369" s="122"/>
      <c r="K369" s="122"/>
      <c r="L369" s="125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6"/>
      <c r="AE369" s="122"/>
      <c r="AF369" s="126"/>
      <c r="AG369" s="122"/>
      <c r="AH369" s="126"/>
      <c r="AI369" s="122"/>
      <c r="AJ369" s="32"/>
      <c r="AK369" s="122"/>
      <c r="AL369" s="32"/>
      <c r="AM369" s="122"/>
      <c r="AN369" s="122"/>
      <c r="AO369" s="12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</row>
    <row r="370" spans="1:52" ht="15.75" customHeight="1">
      <c r="A370" s="122"/>
      <c r="B370" s="122"/>
      <c r="C370" s="122"/>
      <c r="D370" s="123"/>
      <c r="E370" s="123"/>
      <c r="F370" s="122"/>
      <c r="G370" s="122"/>
      <c r="H370" s="124"/>
      <c r="I370" s="122"/>
      <c r="J370" s="122"/>
      <c r="K370" s="122"/>
      <c r="L370" s="125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6"/>
      <c r="AE370" s="122"/>
      <c r="AF370" s="126"/>
      <c r="AG370" s="122"/>
      <c r="AH370" s="126"/>
      <c r="AI370" s="122"/>
      <c r="AJ370" s="32"/>
      <c r="AK370" s="122"/>
      <c r="AL370" s="32"/>
      <c r="AM370" s="122"/>
      <c r="AN370" s="122"/>
      <c r="AO370" s="12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</row>
    <row r="371" spans="1:52" ht="15.75" customHeight="1">
      <c r="A371" s="122"/>
      <c r="B371" s="122"/>
      <c r="C371" s="122"/>
      <c r="D371" s="123"/>
      <c r="E371" s="123"/>
      <c r="F371" s="122"/>
      <c r="G371" s="122"/>
      <c r="H371" s="124"/>
      <c r="I371" s="122"/>
      <c r="J371" s="122"/>
      <c r="K371" s="122"/>
      <c r="L371" s="125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6"/>
      <c r="AE371" s="122"/>
      <c r="AF371" s="126"/>
      <c r="AG371" s="122"/>
      <c r="AH371" s="126"/>
      <c r="AI371" s="122"/>
      <c r="AJ371" s="32"/>
      <c r="AK371" s="122"/>
      <c r="AL371" s="32"/>
      <c r="AM371" s="122"/>
      <c r="AN371" s="122"/>
      <c r="AO371" s="12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</row>
    <row r="372" spans="1:52" ht="15.75" customHeight="1">
      <c r="A372" s="122"/>
      <c r="B372" s="122"/>
      <c r="C372" s="122"/>
      <c r="D372" s="123"/>
      <c r="E372" s="123"/>
      <c r="F372" s="122"/>
      <c r="G372" s="122"/>
      <c r="H372" s="124"/>
      <c r="I372" s="122"/>
      <c r="J372" s="122"/>
      <c r="K372" s="122"/>
      <c r="L372" s="125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6"/>
      <c r="AE372" s="122"/>
      <c r="AF372" s="126"/>
      <c r="AG372" s="122"/>
      <c r="AH372" s="126"/>
      <c r="AI372" s="122"/>
      <c r="AJ372" s="32"/>
      <c r="AK372" s="122"/>
      <c r="AL372" s="32"/>
      <c r="AM372" s="122"/>
      <c r="AN372" s="122"/>
      <c r="AO372" s="12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</row>
    <row r="373" spans="1:52" ht="15.75" customHeight="1">
      <c r="A373" s="122"/>
      <c r="B373" s="122"/>
      <c r="C373" s="122"/>
      <c r="D373" s="123"/>
      <c r="E373" s="123"/>
      <c r="F373" s="122"/>
      <c r="G373" s="122"/>
      <c r="H373" s="124"/>
      <c r="I373" s="122"/>
      <c r="J373" s="122"/>
      <c r="K373" s="122"/>
      <c r="L373" s="125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6"/>
      <c r="AE373" s="122"/>
      <c r="AF373" s="126"/>
      <c r="AG373" s="122"/>
      <c r="AH373" s="126"/>
      <c r="AI373" s="122"/>
      <c r="AJ373" s="32"/>
      <c r="AK373" s="122"/>
      <c r="AL373" s="32"/>
      <c r="AM373" s="122"/>
      <c r="AN373" s="122"/>
      <c r="AO373" s="12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</row>
    <row r="374" spans="1:52" ht="15.75" customHeight="1">
      <c r="A374" s="122"/>
      <c r="B374" s="122"/>
      <c r="C374" s="122"/>
      <c r="D374" s="123"/>
      <c r="E374" s="123"/>
      <c r="F374" s="122"/>
      <c r="G374" s="122"/>
      <c r="H374" s="124"/>
      <c r="I374" s="122"/>
      <c r="J374" s="122"/>
      <c r="K374" s="122"/>
      <c r="L374" s="125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6"/>
      <c r="AE374" s="122"/>
      <c r="AF374" s="126"/>
      <c r="AG374" s="122"/>
      <c r="AH374" s="126"/>
      <c r="AI374" s="122"/>
      <c r="AJ374" s="32"/>
      <c r="AK374" s="122"/>
      <c r="AL374" s="32"/>
      <c r="AM374" s="122"/>
      <c r="AN374" s="122"/>
      <c r="AO374" s="12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</row>
    <row r="375" spans="1:52" ht="15.75" customHeight="1">
      <c r="A375" s="122"/>
      <c r="B375" s="122"/>
      <c r="C375" s="122"/>
      <c r="D375" s="123"/>
      <c r="E375" s="123"/>
      <c r="F375" s="122"/>
      <c r="G375" s="122"/>
      <c r="H375" s="124"/>
      <c r="I375" s="122"/>
      <c r="J375" s="122"/>
      <c r="K375" s="122"/>
      <c r="L375" s="125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6"/>
      <c r="AE375" s="122"/>
      <c r="AF375" s="126"/>
      <c r="AG375" s="122"/>
      <c r="AH375" s="126"/>
      <c r="AI375" s="122"/>
      <c r="AJ375" s="32"/>
      <c r="AK375" s="122"/>
      <c r="AL375" s="32"/>
      <c r="AM375" s="122"/>
      <c r="AN375" s="122"/>
      <c r="AO375" s="12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</row>
    <row r="376" spans="1:52" ht="15.75" customHeight="1">
      <c r="A376" s="122"/>
      <c r="B376" s="122"/>
      <c r="C376" s="122"/>
      <c r="D376" s="123"/>
      <c r="E376" s="123"/>
      <c r="F376" s="122"/>
      <c r="G376" s="122"/>
      <c r="H376" s="124"/>
      <c r="I376" s="122"/>
      <c r="J376" s="122"/>
      <c r="K376" s="122"/>
      <c r="L376" s="125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6"/>
      <c r="AE376" s="122"/>
      <c r="AF376" s="126"/>
      <c r="AG376" s="122"/>
      <c r="AH376" s="126"/>
      <c r="AI376" s="122"/>
      <c r="AJ376" s="32"/>
      <c r="AK376" s="122"/>
      <c r="AL376" s="32"/>
      <c r="AM376" s="122"/>
      <c r="AN376" s="122"/>
      <c r="AO376" s="12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</row>
    <row r="377" spans="1:52" ht="15.75" customHeight="1">
      <c r="A377" s="122"/>
      <c r="B377" s="122"/>
      <c r="C377" s="122"/>
      <c r="D377" s="123"/>
      <c r="E377" s="123"/>
      <c r="F377" s="122"/>
      <c r="G377" s="122"/>
      <c r="H377" s="124"/>
      <c r="I377" s="122"/>
      <c r="J377" s="122"/>
      <c r="K377" s="122"/>
      <c r="L377" s="125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6"/>
      <c r="AE377" s="122"/>
      <c r="AF377" s="126"/>
      <c r="AG377" s="122"/>
      <c r="AH377" s="126"/>
      <c r="AI377" s="122"/>
      <c r="AJ377" s="32"/>
      <c r="AK377" s="122"/>
      <c r="AL377" s="32"/>
      <c r="AM377" s="122"/>
      <c r="AN377" s="122"/>
      <c r="AO377" s="12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</row>
    <row r="378" spans="1:52" ht="15.75" customHeight="1">
      <c r="A378" s="122"/>
      <c r="B378" s="122"/>
      <c r="C378" s="122"/>
      <c r="D378" s="123"/>
      <c r="E378" s="123"/>
      <c r="F378" s="122"/>
      <c r="G378" s="122"/>
      <c r="H378" s="124"/>
      <c r="I378" s="122"/>
      <c r="J378" s="122"/>
      <c r="K378" s="122"/>
      <c r="L378" s="125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6"/>
      <c r="AE378" s="122"/>
      <c r="AF378" s="126"/>
      <c r="AG378" s="122"/>
      <c r="AH378" s="126"/>
      <c r="AI378" s="122"/>
      <c r="AJ378" s="32"/>
      <c r="AK378" s="122"/>
      <c r="AL378" s="32"/>
      <c r="AM378" s="122"/>
      <c r="AN378" s="122"/>
      <c r="AO378" s="12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</row>
    <row r="379" spans="1:52" ht="15.75" customHeight="1">
      <c r="A379" s="122"/>
      <c r="B379" s="122"/>
      <c r="C379" s="122"/>
      <c r="D379" s="123"/>
      <c r="E379" s="123"/>
      <c r="F379" s="122"/>
      <c r="G379" s="122"/>
      <c r="H379" s="124"/>
      <c r="I379" s="122"/>
      <c r="J379" s="122"/>
      <c r="K379" s="122"/>
      <c r="L379" s="125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6"/>
      <c r="AE379" s="122"/>
      <c r="AF379" s="126"/>
      <c r="AG379" s="122"/>
      <c r="AH379" s="126"/>
      <c r="AI379" s="122"/>
      <c r="AJ379" s="32"/>
      <c r="AK379" s="122"/>
      <c r="AL379" s="32"/>
      <c r="AM379" s="122"/>
      <c r="AN379" s="122"/>
      <c r="AO379" s="12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</row>
    <row r="380" spans="1:52" ht="15.75" customHeight="1">
      <c r="A380" s="122"/>
      <c r="B380" s="122"/>
      <c r="C380" s="122"/>
      <c r="D380" s="123"/>
      <c r="E380" s="123"/>
      <c r="F380" s="122"/>
      <c r="G380" s="122"/>
      <c r="H380" s="124"/>
      <c r="I380" s="122"/>
      <c r="J380" s="122"/>
      <c r="K380" s="122"/>
      <c r="L380" s="125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6"/>
      <c r="AE380" s="122"/>
      <c r="AF380" s="126"/>
      <c r="AG380" s="122"/>
      <c r="AH380" s="126"/>
      <c r="AI380" s="122"/>
      <c r="AJ380" s="32"/>
      <c r="AK380" s="122"/>
      <c r="AL380" s="32"/>
      <c r="AM380" s="122"/>
      <c r="AN380" s="122"/>
      <c r="AO380" s="12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</row>
    <row r="381" spans="1:52" ht="15.75" customHeight="1">
      <c r="A381" s="122"/>
      <c r="B381" s="122"/>
      <c r="C381" s="122"/>
      <c r="D381" s="123"/>
      <c r="E381" s="123"/>
      <c r="F381" s="122"/>
      <c r="G381" s="122"/>
      <c r="H381" s="124"/>
      <c r="I381" s="122"/>
      <c r="J381" s="122"/>
      <c r="K381" s="122"/>
      <c r="L381" s="125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6"/>
      <c r="AE381" s="122"/>
      <c r="AF381" s="126"/>
      <c r="AG381" s="122"/>
      <c r="AH381" s="126"/>
      <c r="AI381" s="122"/>
      <c r="AJ381" s="32"/>
      <c r="AK381" s="122"/>
      <c r="AL381" s="32"/>
      <c r="AM381" s="122"/>
      <c r="AN381" s="122"/>
      <c r="AO381" s="12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</row>
    <row r="382" spans="1:52" ht="15.75" customHeight="1">
      <c r="A382" s="122"/>
      <c r="B382" s="122"/>
      <c r="C382" s="122"/>
      <c r="D382" s="123"/>
      <c r="E382" s="123"/>
      <c r="F382" s="122"/>
      <c r="G382" s="122"/>
      <c r="H382" s="124"/>
      <c r="I382" s="122"/>
      <c r="J382" s="122"/>
      <c r="K382" s="122"/>
      <c r="L382" s="125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6"/>
      <c r="AE382" s="122"/>
      <c r="AF382" s="126"/>
      <c r="AG382" s="122"/>
      <c r="AH382" s="126"/>
      <c r="AI382" s="122"/>
      <c r="AJ382" s="32"/>
      <c r="AK382" s="122"/>
      <c r="AL382" s="32"/>
      <c r="AM382" s="122"/>
      <c r="AN382" s="122"/>
      <c r="AO382" s="12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</row>
    <row r="383" spans="1:52" ht="15.75" customHeight="1">
      <c r="A383" s="122"/>
      <c r="B383" s="122"/>
      <c r="C383" s="122"/>
      <c r="D383" s="123"/>
      <c r="E383" s="123"/>
      <c r="F383" s="122"/>
      <c r="G383" s="122"/>
      <c r="H383" s="124"/>
      <c r="I383" s="122"/>
      <c r="J383" s="122"/>
      <c r="K383" s="122"/>
      <c r="L383" s="125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6"/>
      <c r="AE383" s="122"/>
      <c r="AF383" s="126"/>
      <c r="AG383" s="122"/>
      <c r="AH383" s="126"/>
      <c r="AI383" s="122"/>
      <c r="AJ383" s="32"/>
      <c r="AK383" s="122"/>
      <c r="AL383" s="32"/>
      <c r="AM383" s="122"/>
      <c r="AN383" s="122"/>
      <c r="AO383" s="12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</row>
    <row r="384" spans="1:52" ht="15.75" customHeight="1">
      <c r="A384" s="122"/>
      <c r="B384" s="122"/>
      <c r="C384" s="122"/>
      <c r="D384" s="123"/>
      <c r="E384" s="123"/>
      <c r="F384" s="122"/>
      <c r="G384" s="122"/>
      <c r="H384" s="124"/>
      <c r="I384" s="122"/>
      <c r="J384" s="122"/>
      <c r="K384" s="122"/>
      <c r="L384" s="125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6"/>
      <c r="AE384" s="122"/>
      <c r="AF384" s="126"/>
      <c r="AG384" s="122"/>
      <c r="AH384" s="126"/>
      <c r="AI384" s="122"/>
      <c r="AJ384" s="32"/>
      <c r="AK384" s="122"/>
      <c r="AL384" s="32"/>
      <c r="AM384" s="122"/>
      <c r="AN384" s="122"/>
      <c r="AO384" s="12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</row>
    <row r="385" spans="1:52" ht="15.75" customHeight="1">
      <c r="A385" s="122"/>
      <c r="B385" s="122"/>
      <c r="C385" s="122"/>
      <c r="D385" s="123"/>
      <c r="E385" s="123"/>
      <c r="F385" s="122"/>
      <c r="G385" s="122"/>
      <c r="H385" s="124"/>
      <c r="I385" s="122"/>
      <c r="J385" s="122"/>
      <c r="K385" s="122"/>
      <c r="L385" s="125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6"/>
      <c r="AE385" s="122"/>
      <c r="AF385" s="126"/>
      <c r="AG385" s="122"/>
      <c r="AH385" s="126"/>
      <c r="AI385" s="122"/>
      <c r="AJ385" s="32"/>
      <c r="AK385" s="122"/>
      <c r="AL385" s="32"/>
      <c r="AM385" s="122"/>
      <c r="AN385" s="122"/>
      <c r="AO385" s="12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</row>
    <row r="386" spans="1:52" ht="15.75" customHeight="1">
      <c r="A386" s="122"/>
      <c r="B386" s="122"/>
      <c r="C386" s="122"/>
      <c r="D386" s="123"/>
      <c r="E386" s="123"/>
      <c r="F386" s="122"/>
      <c r="G386" s="122"/>
      <c r="H386" s="124"/>
      <c r="I386" s="122"/>
      <c r="J386" s="122"/>
      <c r="K386" s="122"/>
      <c r="L386" s="125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6"/>
      <c r="AE386" s="122"/>
      <c r="AF386" s="126"/>
      <c r="AG386" s="122"/>
      <c r="AH386" s="126"/>
      <c r="AI386" s="122"/>
      <c r="AJ386" s="32"/>
      <c r="AK386" s="122"/>
      <c r="AL386" s="32"/>
      <c r="AM386" s="122"/>
      <c r="AN386" s="122"/>
      <c r="AO386" s="12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</row>
    <row r="387" spans="1:52" ht="15.75" customHeight="1">
      <c r="A387" s="122"/>
      <c r="B387" s="122"/>
      <c r="C387" s="122"/>
      <c r="D387" s="123"/>
      <c r="E387" s="123"/>
      <c r="F387" s="122"/>
      <c r="G387" s="122"/>
      <c r="H387" s="124"/>
      <c r="I387" s="122"/>
      <c r="J387" s="122"/>
      <c r="K387" s="122"/>
      <c r="L387" s="125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6"/>
      <c r="AE387" s="122"/>
      <c r="AF387" s="126"/>
      <c r="AG387" s="122"/>
      <c r="AH387" s="126"/>
      <c r="AI387" s="122"/>
      <c r="AJ387" s="32"/>
      <c r="AK387" s="122"/>
      <c r="AL387" s="32"/>
      <c r="AM387" s="122"/>
      <c r="AN387" s="122"/>
      <c r="AO387" s="12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</row>
    <row r="388" spans="1:52" ht="15.75" customHeight="1">
      <c r="A388" s="122"/>
      <c r="B388" s="122"/>
      <c r="C388" s="122"/>
      <c r="D388" s="123"/>
      <c r="E388" s="123"/>
      <c r="F388" s="122"/>
      <c r="G388" s="122"/>
      <c r="H388" s="124"/>
      <c r="I388" s="122"/>
      <c r="J388" s="122"/>
      <c r="K388" s="122"/>
      <c r="L388" s="125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6"/>
      <c r="AE388" s="122"/>
      <c r="AF388" s="126"/>
      <c r="AG388" s="122"/>
      <c r="AH388" s="126"/>
      <c r="AI388" s="122"/>
      <c r="AJ388" s="32"/>
      <c r="AK388" s="122"/>
      <c r="AL388" s="32"/>
      <c r="AM388" s="122"/>
      <c r="AN388" s="122"/>
      <c r="AO388" s="12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</row>
    <row r="389" spans="1:52" ht="15.75" customHeight="1">
      <c r="A389" s="122"/>
      <c r="B389" s="122"/>
      <c r="C389" s="122"/>
      <c r="D389" s="123"/>
      <c r="E389" s="123"/>
      <c r="F389" s="122"/>
      <c r="G389" s="122"/>
      <c r="H389" s="124"/>
      <c r="I389" s="122"/>
      <c r="J389" s="122"/>
      <c r="K389" s="122"/>
      <c r="L389" s="125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6"/>
      <c r="AE389" s="122"/>
      <c r="AF389" s="126"/>
      <c r="AG389" s="122"/>
      <c r="AH389" s="126"/>
      <c r="AI389" s="122"/>
      <c r="AJ389" s="32"/>
      <c r="AK389" s="122"/>
      <c r="AL389" s="32"/>
      <c r="AM389" s="122"/>
      <c r="AN389" s="122"/>
      <c r="AO389" s="12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</row>
    <row r="390" spans="1:52" ht="15.75" customHeight="1">
      <c r="A390" s="122"/>
      <c r="B390" s="122"/>
      <c r="C390" s="122"/>
      <c r="D390" s="123"/>
      <c r="E390" s="123"/>
      <c r="F390" s="122"/>
      <c r="G390" s="122"/>
      <c r="H390" s="124"/>
      <c r="I390" s="122"/>
      <c r="J390" s="122"/>
      <c r="K390" s="122"/>
      <c r="L390" s="125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6"/>
      <c r="AE390" s="122"/>
      <c r="AF390" s="126"/>
      <c r="AG390" s="122"/>
      <c r="AH390" s="126"/>
      <c r="AI390" s="122"/>
      <c r="AJ390" s="32"/>
      <c r="AK390" s="122"/>
      <c r="AL390" s="32"/>
      <c r="AM390" s="122"/>
      <c r="AN390" s="122"/>
      <c r="AO390" s="12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</row>
    <row r="391" spans="1:52" ht="15.75" customHeight="1">
      <c r="A391" s="122"/>
      <c r="B391" s="122"/>
      <c r="C391" s="122"/>
      <c r="D391" s="123"/>
      <c r="E391" s="123"/>
      <c r="F391" s="122"/>
      <c r="G391" s="122"/>
      <c r="H391" s="124"/>
      <c r="I391" s="122"/>
      <c r="J391" s="122"/>
      <c r="K391" s="122"/>
      <c r="L391" s="125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6"/>
      <c r="AE391" s="122"/>
      <c r="AF391" s="126"/>
      <c r="AG391" s="122"/>
      <c r="AH391" s="126"/>
      <c r="AI391" s="122"/>
      <c r="AJ391" s="32"/>
      <c r="AK391" s="122"/>
      <c r="AL391" s="32"/>
      <c r="AM391" s="122"/>
      <c r="AN391" s="122"/>
      <c r="AO391" s="12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</row>
    <row r="392" spans="1:52" ht="15.75" customHeight="1">
      <c r="A392" s="122"/>
      <c r="B392" s="122"/>
      <c r="C392" s="122"/>
      <c r="D392" s="123"/>
      <c r="E392" s="123"/>
      <c r="F392" s="122"/>
      <c r="G392" s="122"/>
      <c r="H392" s="124"/>
      <c r="I392" s="122"/>
      <c r="J392" s="122"/>
      <c r="K392" s="122"/>
      <c r="L392" s="125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6"/>
      <c r="AE392" s="122"/>
      <c r="AF392" s="126"/>
      <c r="AG392" s="122"/>
      <c r="AH392" s="126"/>
      <c r="AI392" s="122"/>
      <c r="AJ392" s="32"/>
      <c r="AK392" s="122"/>
      <c r="AL392" s="32"/>
      <c r="AM392" s="122"/>
      <c r="AN392" s="122"/>
      <c r="AO392" s="12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</row>
    <row r="393" spans="1:52" ht="15.75" customHeight="1">
      <c r="A393" s="122"/>
      <c r="B393" s="122"/>
      <c r="C393" s="122"/>
      <c r="D393" s="123"/>
      <c r="E393" s="123"/>
      <c r="F393" s="122"/>
      <c r="G393" s="122"/>
      <c r="H393" s="124"/>
      <c r="I393" s="122"/>
      <c r="J393" s="122"/>
      <c r="K393" s="122"/>
      <c r="L393" s="125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6"/>
      <c r="AE393" s="122"/>
      <c r="AF393" s="126"/>
      <c r="AG393" s="122"/>
      <c r="AH393" s="126"/>
      <c r="AI393" s="122"/>
      <c r="AJ393" s="32"/>
      <c r="AK393" s="122"/>
      <c r="AL393" s="32"/>
      <c r="AM393" s="122"/>
      <c r="AN393" s="122"/>
      <c r="AO393" s="12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</row>
    <row r="394" spans="1:52" ht="15.75" customHeight="1">
      <c r="A394" s="122"/>
      <c r="B394" s="122"/>
      <c r="C394" s="122"/>
      <c r="D394" s="123"/>
      <c r="E394" s="123"/>
      <c r="F394" s="122"/>
      <c r="G394" s="122"/>
      <c r="H394" s="124"/>
      <c r="I394" s="122"/>
      <c r="J394" s="122"/>
      <c r="K394" s="122"/>
      <c r="L394" s="125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6"/>
      <c r="AE394" s="122"/>
      <c r="AF394" s="126"/>
      <c r="AG394" s="122"/>
      <c r="AH394" s="126"/>
      <c r="AI394" s="122"/>
      <c r="AJ394" s="32"/>
      <c r="AK394" s="122"/>
      <c r="AL394" s="32"/>
      <c r="AM394" s="122"/>
      <c r="AN394" s="122"/>
      <c r="AO394" s="12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</row>
    <row r="395" spans="1:52" ht="15.75" customHeight="1">
      <c r="A395" s="122"/>
      <c r="B395" s="122"/>
      <c r="C395" s="122"/>
      <c r="D395" s="123"/>
      <c r="E395" s="123"/>
      <c r="F395" s="122"/>
      <c r="G395" s="122"/>
      <c r="H395" s="124"/>
      <c r="I395" s="122"/>
      <c r="J395" s="122"/>
      <c r="K395" s="122"/>
      <c r="L395" s="125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6"/>
      <c r="AE395" s="122"/>
      <c r="AF395" s="126"/>
      <c r="AG395" s="122"/>
      <c r="AH395" s="126"/>
      <c r="AI395" s="122"/>
      <c r="AJ395" s="32"/>
      <c r="AK395" s="122"/>
      <c r="AL395" s="32"/>
      <c r="AM395" s="122"/>
      <c r="AN395" s="122"/>
      <c r="AO395" s="12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</row>
    <row r="396" spans="1:52" ht="15.75" customHeight="1">
      <c r="A396" s="122"/>
      <c r="B396" s="122"/>
      <c r="C396" s="122"/>
      <c r="D396" s="123"/>
      <c r="E396" s="123"/>
      <c r="F396" s="122"/>
      <c r="G396" s="122"/>
      <c r="H396" s="124"/>
      <c r="I396" s="122"/>
      <c r="J396" s="122"/>
      <c r="K396" s="122"/>
      <c r="L396" s="125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6"/>
      <c r="AE396" s="122"/>
      <c r="AF396" s="126"/>
      <c r="AG396" s="122"/>
      <c r="AH396" s="126"/>
      <c r="AI396" s="122"/>
      <c r="AJ396" s="32"/>
      <c r="AK396" s="122"/>
      <c r="AL396" s="32"/>
      <c r="AM396" s="122"/>
      <c r="AN396" s="122"/>
      <c r="AO396" s="12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</row>
    <row r="397" spans="1:52" ht="15.75" customHeight="1">
      <c r="A397" s="122"/>
      <c r="B397" s="122"/>
      <c r="C397" s="122"/>
      <c r="D397" s="123"/>
      <c r="E397" s="123"/>
      <c r="F397" s="122"/>
      <c r="G397" s="122"/>
      <c r="H397" s="124"/>
      <c r="I397" s="122"/>
      <c r="J397" s="122"/>
      <c r="K397" s="122"/>
      <c r="L397" s="125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6"/>
      <c r="AE397" s="122"/>
      <c r="AF397" s="126"/>
      <c r="AG397" s="122"/>
      <c r="AH397" s="126"/>
      <c r="AI397" s="122"/>
      <c r="AJ397" s="32"/>
      <c r="AK397" s="122"/>
      <c r="AL397" s="32"/>
      <c r="AM397" s="122"/>
      <c r="AN397" s="122"/>
      <c r="AO397" s="12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</row>
    <row r="398" spans="1:52" ht="15.75" customHeight="1">
      <c r="A398" s="122"/>
      <c r="B398" s="122"/>
      <c r="C398" s="122"/>
      <c r="D398" s="123"/>
      <c r="E398" s="123"/>
      <c r="F398" s="122"/>
      <c r="G398" s="122"/>
      <c r="H398" s="124"/>
      <c r="I398" s="122"/>
      <c r="J398" s="122"/>
      <c r="K398" s="122"/>
      <c r="L398" s="125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6"/>
      <c r="AE398" s="122"/>
      <c r="AF398" s="126"/>
      <c r="AG398" s="122"/>
      <c r="AH398" s="126"/>
      <c r="AI398" s="122"/>
      <c r="AJ398" s="32"/>
      <c r="AK398" s="122"/>
      <c r="AL398" s="32"/>
      <c r="AM398" s="122"/>
      <c r="AN398" s="122"/>
      <c r="AO398" s="12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</row>
    <row r="399" spans="1:52" ht="15.75" customHeight="1">
      <c r="A399" s="122"/>
      <c r="B399" s="122"/>
      <c r="C399" s="122"/>
      <c r="D399" s="123"/>
      <c r="E399" s="123"/>
      <c r="F399" s="122"/>
      <c r="G399" s="122"/>
      <c r="H399" s="124"/>
      <c r="I399" s="122"/>
      <c r="J399" s="122"/>
      <c r="K399" s="122"/>
      <c r="L399" s="125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6"/>
      <c r="AE399" s="122"/>
      <c r="AF399" s="126"/>
      <c r="AG399" s="122"/>
      <c r="AH399" s="126"/>
      <c r="AI399" s="122"/>
      <c r="AJ399" s="32"/>
      <c r="AK399" s="122"/>
      <c r="AL399" s="32"/>
      <c r="AM399" s="122"/>
      <c r="AN399" s="122"/>
      <c r="AO399" s="12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</row>
    <row r="400" spans="1:52" ht="15.75" customHeight="1">
      <c r="A400" s="122"/>
      <c r="B400" s="122"/>
      <c r="C400" s="122"/>
      <c r="D400" s="123"/>
      <c r="E400" s="123"/>
      <c r="F400" s="122"/>
      <c r="G400" s="122"/>
      <c r="H400" s="124"/>
      <c r="I400" s="122"/>
      <c r="J400" s="122"/>
      <c r="K400" s="122"/>
      <c r="L400" s="125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6"/>
      <c r="AE400" s="122"/>
      <c r="AF400" s="126"/>
      <c r="AG400" s="122"/>
      <c r="AH400" s="126"/>
      <c r="AI400" s="122"/>
      <c r="AJ400" s="32"/>
      <c r="AK400" s="122"/>
      <c r="AL400" s="32"/>
      <c r="AM400" s="122"/>
      <c r="AN400" s="122"/>
      <c r="AO400" s="12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</row>
    <row r="401" spans="1:52" ht="15.75" customHeight="1">
      <c r="A401" s="122"/>
      <c r="B401" s="122"/>
      <c r="C401" s="122"/>
      <c r="D401" s="123"/>
      <c r="E401" s="123"/>
      <c r="F401" s="122"/>
      <c r="G401" s="122"/>
      <c r="H401" s="124"/>
      <c r="I401" s="122"/>
      <c r="J401" s="122"/>
      <c r="K401" s="122"/>
      <c r="L401" s="125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6"/>
      <c r="AE401" s="122"/>
      <c r="AF401" s="126"/>
      <c r="AG401" s="122"/>
      <c r="AH401" s="126"/>
      <c r="AI401" s="122"/>
      <c r="AJ401" s="32"/>
      <c r="AK401" s="122"/>
      <c r="AL401" s="32"/>
      <c r="AM401" s="122"/>
      <c r="AN401" s="122"/>
      <c r="AO401" s="12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</row>
    <row r="402" spans="1:52" ht="15.75" customHeight="1">
      <c r="A402" s="122"/>
      <c r="B402" s="122"/>
      <c r="C402" s="122"/>
      <c r="D402" s="123"/>
      <c r="E402" s="123"/>
      <c r="F402" s="122"/>
      <c r="G402" s="122"/>
      <c r="H402" s="124"/>
      <c r="I402" s="122"/>
      <c r="J402" s="122"/>
      <c r="K402" s="122"/>
      <c r="L402" s="125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6"/>
      <c r="AE402" s="122"/>
      <c r="AF402" s="126"/>
      <c r="AG402" s="122"/>
      <c r="AH402" s="126"/>
      <c r="AI402" s="122"/>
      <c r="AJ402" s="32"/>
      <c r="AK402" s="122"/>
      <c r="AL402" s="32"/>
      <c r="AM402" s="122"/>
      <c r="AN402" s="122"/>
      <c r="AO402" s="12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</row>
    <row r="403" spans="1:52" ht="15.75" customHeight="1">
      <c r="A403" s="122"/>
      <c r="B403" s="122"/>
      <c r="C403" s="122"/>
      <c r="D403" s="123"/>
      <c r="E403" s="123"/>
      <c r="F403" s="122"/>
      <c r="G403" s="122"/>
      <c r="H403" s="124"/>
      <c r="I403" s="122"/>
      <c r="J403" s="122"/>
      <c r="K403" s="122"/>
      <c r="L403" s="125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6"/>
      <c r="AE403" s="122"/>
      <c r="AF403" s="126"/>
      <c r="AG403" s="122"/>
      <c r="AH403" s="126"/>
      <c r="AI403" s="122"/>
      <c r="AJ403" s="32"/>
      <c r="AK403" s="122"/>
      <c r="AL403" s="32"/>
      <c r="AM403" s="122"/>
      <c r="AN403" s="122"/>
      <c r="AO403" s="12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</row>
    <row r="404" spans="1:52" ht="15.75" customHeight="1">
      <c r="A404" s="122"/>
      <c r="B404" s="122"/>
      <c r="C404" s="122"/>
      <c r="D404" s="123"/>
      <c r="E404" s="123"/>
      <c r="F404" s="122"/>
      <c r="G404" s="122"/>
      <c r="H404" s="124"/>
      <c r="I404" s="122"/>
      <c r="J404" s="122"/>
      <c r="K404" s="122"/>
      <c r="L404" s="125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6"/>
      <c r="AE404" s="122"/>
      <c r="AF404" s="126"/>
      <c r="AG404" s="122"/>
      <c r="AH404" s="126"/>
      <c r="AI404" s="122"/>
      <c r="AJ404" s="32"/>
      <c r="AK404" s="122"/>
      <c r="AL404" s="32"/>
      <c r="AM404" s="122"/>
      <c r="AN404" s="122"/>
      <c r="AO404" s="12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</row>
    <row r="405" spans="1:52" ht="15.75" customHeight="1">
      <c r="A405" s="122"/>
      <c r="B405" s="122"/>
      <c r="C405" s="122"/>
      <c r="D405" s="123"/>
      <c r="E405" s="123"/>
      <c r="F405" s="122"/>
      <c r="G405" s="122"/>
      <c r="H405" s="124"/>
      <c r="I405" s="122"/>
      <c r="J405" s="122"/>
      <c r="K405" s="122"/>
      <c r="L405" s="125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6"/>
      <c r="AE405" s="122"/>
      <c r="AF405" s="126"/>
      <c r="AG405" s="122"/>
      <c r="AH405" s="126"/>
      <c r="AI405" s="122"/>
      <c r="AJ405" s="32"/>
      <c r="AK405" s="122"/>
      <c r="AL405" s="32"/>
      <c r="AM405" s="122"/>
      <c r="AN405" s="122"/>
      <c r="AO405" s="12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</row>
    <row r="406" spans="1:52" ht="15.75" customHeight="1">
      <c r="A406" s="122"/>
      <c r="B406" s="122"/>
      <c r="C406" s="122"/>
      <c r="D406" s="123"/>
      <c r="E406" s="123"/>
      <c r="F406" s="122"/>
      <c r="G406" s="122"/>
      <c r="H406" s="124"/>
      <c r="I406" s="122"/>
      <c r="J406" s="122"/>
      <c r="K406" s="122"/>
      <c r="L406" s="125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6"/>
      <c r="AE406" s="122"/>
      <c r="AF406" s="126"/>
      <c r="AG406" s="122"/>
      <c r="AH406" s="126"/>
      <c r="AI406" s="122"/>
      <c r="AJ406" s="32"/>
      <c r="AK406" s="122"/>
      <c r="AL406" s="32"/>
      <c r="AM406" s="122"/>
      <c r="AN406" s="122"/>
      <c r="AO406" s="12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</row>
    <row r="407" spans="1:52" ht="15.75" customHeight="1">
      <c r="A407" s="122"/>
      <c r="B407" s="122"/>
      <c r="C407" s="122"/>
      <c r="D407" s="123"/>
      <c r="E407" s="123"/>
      <c r="F407" s="122"/>
      <c r="G407" s="122"/>
      <c r="H407" s="124"/>
      <c r="I407" s="122"/>
      <c r="J407" s="122"/>
      <c r="K407" s="122"/>
      <c r="L407" s="125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6"/>
      <c r="AE407" s="122"/>
      <c r="AF407" s="126"/>
      <c r="AG407" s="122"/>
      <c r="AH407" s="126"/>
      <c r="AI407" s="122"/>
      <c r="AJ407" s="32"/>
      <c r="AK407" s="122"/>
      <c r="AL407" s="32"/>
      <c r="AM407" s="122"/>
      <c r="AN407" s="122"/>
      <c r="AO407" s="12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</row>
    <row r="408" spans="1:52" ht="15.75" customHeight="1">
      <c r="A408" s="122"/>
      <c r="B408" s="122"/>
      <c r="C408" s="122"/>
      <c r="D408" s="123"/>
      <c r="E408" s="123"/>
      <c r="F408" s="122"/>
      <c r="G408" s="122"/>
      <c r="H408" s="124"/>
      <c r="I408" s="122"/>
      <c r="J408" s="122"/>
      <c r="K408" s="122"/>
      <c r="L408" s="125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6"/>
      <c r="AE408" s="122"/>
      <c r="AF408" s="126"/>
      <c r="AG408" s="122"/>
      <c r="AH408" s="126"/>
      <c r="AI408" s="122"/>
      <c r="AJ408" s="32"/>
      <c r="AK408" s="122"/>
      <c r="AL408" s="32"/>
      <c r="AM408" s="122"/>
      <c r="AN408" s="122"/>
      <c r="AO408" s="12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</row>
    <row r="409" spans="1:52" ht="15.75" customHeight="1">
      <c r="A409" s="122"/>
      <c r="B409" s="122"/>
      <c r="C409" s="122"/>
      <c r="D409" s="123"/>
      <c r="E409" s="123"/>
      <c r="F409" s="122"/>
      <c r="G409" s="122"/>
      <c r="H409" s="124"/>
      <c r="I409" s="122"/>
      <c r="J409" s="122"/>
      <c r="K409" s="122"/>
      <c r="L409" s="125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6"/>
      <c r="AE409" s="122"/>
      <c r="AF409" s="126"/>
      <c r="AG409" s="122"/>
      <c r="AH409" s="126"/>
      <c r="AI409" s="122"/>
      <c r="AJ409" s="32"/>
      <c r="AK409" s="122"/>
      <c r="AL409" s="32"/>
      <c r="AM409" s="122"/>
      <c r="AN409" s="122"/>
      <c r="AO409" s="12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</row>
    <row r="410" spans="1:52" ht="15.75" customHeight="1">
      <c r="A410" s="122"/>
      <c r="B410" s="122"/>
      <c r="C410" s="122"/>
      <c r="D410" s="123"/>
      <c r="E410" s="123"/>
      <c r="F410" s="122"/>
      <c r="G410" s="122"/>
      <c r="H410" s="124"/>
      <c r="I410" s="122"/>
      <c r="J410" s="122"/>
      <c r="K410" s="122"/>
      <c r="L410" s="125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6"/>
      <c r="AE410" s="122"/>
      <c r="AF410" s="126"/>
      <c r="AG410" s="122"/>
      <c r="AH410" s="126"/>
      <c r="AI410" s="122"/>
      <c r="AJ410" s="32"/>
      <c r="AK410" s="122"/>
      <c r="AL410" s="32"/>
      <c r="AM410" s="122"/>
      <c r="AN410" s="122"/>
      <c r="AO410" s="12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</row>
    <row r="411" spans="1:52" ht="15.75" customHeight="1">
      <c r="A411" s="122"/>
      <c r="B411" s="122"/>
      <c r="C411" s="122"/>
      <c r="D411" s="123"/>
      <c r="E411" s="123"/>
      <c r="F411" s="122"/>
      <c r="G411" s="122"/>
      <c r="H411" s="124"/>
      <c r="I411" s="122"/>
      <c r="J411" s="122"/>
      <c r="K411" s="122"/>
      <c r="L411" s="125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6"/>
      <c r="AE411" s="122"/>
      <c r="AF411" s="126"/>
      <c r="AG411" s="122"/>
      <c r="AH411" s="126"/>
      <c r="AI411" s="122"/>
      <c r="AJ411" s="32"/>
      <c r="AK411" s="122"/>
      <c r="AL411" s="32"/>
      <c r="AM411" s="122"/>
      <c r="AN411" s="122"/>
      <c r="AO411" s="12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</row>
    <row r="412" spans="1:52" ht="15.75" customHeight="1">
      <c r="A412" s="122"/>
      <c r="B412" s="122"/>
      <c r="C412" s="122"/>
      <c r="D412" s="123"/>
      <c r="E412" s="123"/>
      <c r="F412" s="122"/>
      <c r="G412" s="122"/>
      <c r="H412" s="124"/>
      <c r="I412" s="122"/>
      <c r="J412" s="122"/>
      <c r="K412" s="122"/>
      <c r="L412" s="125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6"/>
      <c r="AE412" s="122"/>
      <c r="AF412" s="126"/>
      <c r="AG412" s="122"/>
      <c r="AH412" s="126"/>
      <c r="AI412" s="122"/>
      <c r="AJ412" s="32"/>
      <c r="AK412" s="122"/>
      <c r="AL412" s="32"/>
      <c r="AM412" s="122"/>
      <c r="AN412" s="122"/>
      <c r="AO412" s="12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</row>
    <row r="413" spans="1:52" ht="15.75" customHeight="1">
      <c r="A413" s="122"/>
      <c r="B413" s="122"/>
      <c r="C413" s="122"/>
      <c r="D413" s="123"/>
      <c r="E413" s="123"/>
      <c r="F413" s="122"/>
      <c r="G413" s="122"/>
      <c r="H413" s="124"/>
      <c r="I413" s="122"/>
      <c r="J413" s="122"/>
      <c r="K413" s="122"/>
      <c r="L413" s="125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6"/>
      <c r="AE413" s="122"/>
      <c r="AF413" s="126"/>
      <c r="AG413" s="122"/>
      <c r="AH413" s="126"/>
      <c r="AI413" s="122"/>
      <c r="AJ413" s="32"/>
      <c r="AK413" s="122"/>
      <c r="AL413" s="32"/>
      <c r="AM413" s="122"/>
      <c r="AN413" s="122"/>
      <c r="AO413" s="12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</row>
    <row r="414" spans="1:52" ht="15.75" customHeight="1">
      <c r="A414" s="122"/>
      <c r="B414" s="122"/>
      <c r="C414" s="122"/>
      <c r="D414" s="123"/>
      <c r="E414" s="123"/>
      <c r="F414" s="122"/>
      <c r="G414" s="122"/>
      <c r="H414" s="124"/>
      <c r="I414" s="122"/>
      <c r="J414" s="122"/>
      <c r="K414" s="122"/>
      <c r="L414" s="125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6"/>
      <c r="AE414" s="122"/>
      <c r="AF414" s="126"/>
      <c r="AG414" s="122"/>
      <c r="AH414" s="126"/>
      <c r="AI414" s="122"/>
      <c r="AJ414" s="32"/>
      <c r="AK414" s="122"/>
      <c r="AL414" s="32"/>
      <c r="AM414" s="122"/>
      <c r="AN414" s="122"/>
      <c r="AO414" s="12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</row>
    <row r="415" spans="1:52" ht="15.75" customHeight="1">
      <c r="A415" s="122"/>
      <c r="B415" s="122"/>
      <c r="C415" s="122"/>
      <c r="D415" s="123"/>
      <c r="E415" s="123"/>
      <c r="F415" s="122"/>
      <c r="G415" s="122"/>
      <c r="H415" s="124"/>
      <c r="I415" s="122"/>
      <c r="J415" s="122"/>
      <c r="K415" s="122"/>
      <c r="L415" s="125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6"/>
      <c r="AE415" s="122"/>
      <c r="AF415" s="126"/>
      <c r="AG415" s="122"/>
      <c r="AH415" s="126"/>
      <c r="AI415" s="122"/>
      <c r="AJ415" s="32"/>
      <c r="AK415" s="122"/>
      <c r="AL415" s="32"/>
      <c r="AM415" s="122"/>
      <c r="AN415" s="122"/>
      <c r="AO415" s="12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</row>
    <row r="416" spans="1:52" ht="15.75" customHeight="1">
      <c r="A416" s="122"/>
      <c r="B416" s="122"/>
      <c r="C416" s="122"/>
      <c r="D416" s="123"/>
      <c r="E416" s="123"/>
      <c r="F416" s="122"/>
      <c r="G416" s="122"/>
      <c r="H416" s="124"/>
      <c r="I416" s="122"/>
      <c r="J416" s="122"/>
      <c r="K416" s="122"/>
      <c r="L416" s="125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6"/>
      <c r="AE416" s="122"/>
      <c r="AF416" s="126"/>
      <c r="AG416" s="122"/>
      <c r="AH416" s="126"/>
      <c r="AI416" s="122"/>
      <c r="AJ416" s="32"/>
      <c r="AK416" s="122"/>
      <c r="AL416" s="32"/>
      <c r="AM416" s="122"/>
      <c r="AN416" s="122"/>
      <c r="AO416" s="12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</row>
    <row r="417" spans="1:52" ht="15.75" customHeight="1">
      <c r="A417" s="122"/>
      <c r="B417" s="122"/>
      <c r="C417" s="122"/>
      <c r="D417" s="123"/>
      <c r="E417" s="123"/>
      <c r="F417" s="122"/>
      <c r="G417" s="122"/>
      <c r="H417" s="124"/>
      <c r="I417" s="122"/>
      <c r="J417" s="122"/>
      <c r="K417" s="122"/>
      <c r="L417" s="125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6"/>
      <c r="AE417" s="122"/>
      <c r="AF417" s="126"/>
      <c r="AG417" s="122"/>
      <c r="AH417" s="126"/>
      <c r="AI417" s="122"/>
      <c r="AJ417" s="32"/>
      <c r="AK417" s="122"/>
      <c r="AL417" s="32"/>
      <c r="AM417" s="122"/>
      <c r="AN417" s="122"/>
      <c r="AO417" s="12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</row>
    <row r="418" spans="1:52" ht="15.75" customHeight="1">
      <c r="A418" s="122"/>
      <c r="B418" s="122"/>
      <c r="C418" s="122"/>
      <c r="D418" s="123"/>
      <c r="E418" s="123"/>
      <c r="F418" s="122"/>
      <c r="G418" s="122"/>
      <c r="H418" s="124"/>
      <c r="I418" s="122"/>
      <c r="J418" s="122"/>
      <c r="K418" s="122"/>
      <c r="L418" s="125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6"/>
      <c r="AE418" s="122"/>
      <c r="AF418" s="126"/>
      <c r="AG418" s="122"/>
      <c r="AH418" s="126"/>
      <c r="AI418" s="122"/>
      <c r="AJ418" s="32"/>
      <c r="AK418" s="122"/>
      <c r="AL418" s="32"/>
      <c r="AM418" s="122"/>
      <c r="AN418" s="122"/>
      <c r="AO418" s="12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</row>
    <row r="419" spans="1:52" ht="15.75" customHeight="1">
      <c r="A419" s="122"/>
      <c r="B419" s="122"/>
      <c r="C419" s="122"/>
      <c r="D419" s="123"/>
      <c r="E419" s="123"/>
      <c r="F419" s="122"/>
      <c r="G419" s="122"/>
      <c r="H419" s="124"/>
      <c r="I419" s="122"/>
      <c r="J419" s="122"/>
      <c r="K419" s="122"/>
      <c r="L419" s="125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6"/>
      <c r="AE419" s="122"/>
      <c r="AF419" s="126"/>
      <c r="AG419" s="122"/>
      <c r="AH419" s="126"/>
      <c r="AI419" s="122"/>
      <c r="AJ419" s="32"/>
      <c r="AK419" s="122"/>
      <c r="AL419" s="32"/>
      <c r="AM419" s="122"/>
      <c r="AN419" s="122"/>
      <c r="AO419" s="12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</row>
    <row r="420" spans="1:52" ht="15.75" customHeight="1">
      <c r="A420" s="122"/>
      <c r="B420" s="122"/>
      <c r="C420" s="122"/>
      <c r="D420" s="123"/>
      <c r="E420" s="123"/>
      <c r="F420" s="122"/>
      <c r="G420" s="122"/>
      <c r="H420" s="124"/>
      <c r="I420" s="122"/>
      <c r="J420" s="122"/>
      <c r="K420" s="122"/>
      <c r="L420" s="125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6"/>
      <c r="AE420" s="122"/>
      <c r="AF420" s="126"/>
      <c r="AG420" s="122"/>
      <c r="AH420" s="126"/>
      <c r="AI420" s="122"/>
      <c r="AJ420" s="32"/>
      <c r="AK420" s="122"/>
      <c r="AL420" s="32"/>
      <c r="AM420" s="122"/>
      <c r="AN420" s="122"/>
      <c r="AO420" s="12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</row>
    <row r="421" spans="1:52" ht="15.75" customHeight="1">
      <c r="A421" s="122"/>
      <c r="B421" s="122"/>
      <c r="C421" s="122"/>
      <c r="D421" s="123"/>
      <c r="E421" s="123"/>
      <c r="F421" s="122"/>
      <c r="G421" s="122"/>
      <c r="H421" s="124"/>
      <c r="I421" s="122"/>
      <c r="J421" s="122"/>
      <c r="K421" s="122"/>
      <c r="L421" s="125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6"/>
      <c r="AE421" s="122"/>
      <c r="AF421" s="126"/>
      <c r="AG421" s="122"/>
      <c r="AH421" s="126"/>
      <c r="AI421" s="122"/>
      <c r="AJ421" s="32"/>
      <c r="AK421" s="122"/>
      <c r="AL421" s="32"/>
      <c r="AM421" s="122"/>
      <c r="AN421" s="122"/>
      <c r="AO421" s="12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</row>
    <row r="422" spans="1:52" ht="15.75" customHeight="1">
      <c r="A422" s="122"/>
      <c r="B422" s="122"/>
      <c r="C422" s="122"/>
      <c r="D422" s="123"/>
      <c r="E422" s="123"/>
      <c r="F422" s="122"/>
      <c r="G422" s="122"/>
      <c r="H422" s="124"/>
      <c r="I422" s="122"/>
      <c r="J422" s="122"/>
      <c r="K422" s="122"/>
      <c r="L422" s="125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6"/>
      <c r="AE422" s="122"/>
      <c r="AF422" s="126"/>
      <c r="AG422" s="122"/>
      <c r="AH422" s="126"/>
      <c r="AI422" s="122"/>
      <c r="AJ422" s="32"/>
      <c r="AK422" s="122"/>
      <c r="AL422" s="32"/>
      <c r="AM422" s="122"/>
      <c r="AN422" s="122"/>
      <c r="AO422" s="12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</row>
    <row r="423" spans="1:52" ht="15.75" customHeight="1">
      <c r="A423" s="122"/>
      <c r="B423" s="122"/>
      <c r="C423" s="122"/>
      <c r="D423" s="123"/>
      <c r="E423" s="123"/>
      <c r="F423" s="122"/>
      <c r="G423" s="122"/>
      <c r="H423" s="124"/>
      <c r="I423" s="122"/>
      <c r="J423" s="122"/>
      <c r="K423" s="122"/>
      <c r="L423" s="125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6"/>
      <c r="AE423" s="122"/>
      <c r="AF423" s="126"/>
      <c r="AG423" s="122"/>
      <c r="AH423" s="126"/>
      <c r="AI423" s="122"/>
      <c r="AJ423" s="32"/>
      <c r="AK423" s="122"/>
      <c r="AL423" s="32"/>
      <c r="AM423" s="122"/>
      <c r="AN423" s="122"/>
      <c r="AO423" s="12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</row>
    <row r="424" spans="1:52" ht="15.75" customHeight="1">
      <c r="A424" s="122"/>
      <c r="B424" s="122"/>
      <c r="C424" s="122"/>
      <c r="D424" s="123"/>
      <c r="E424" s="123"/>
      <c r="F424" s="122"/>
      <c r="G424" s="122"/>
      <c r="H424" s="124"/>
      <c r="I424" s="122"/>
      <c r="J424" s="122"/>
      <c r="K424" s="122"/>
      <c r="L424" s="125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6"/>
      <c r="AE424" s="122"/>
      <c r="AF424" s="126"/>
      <c r="AG424" s="122"/>
      <c r="AH424" s="126"/>
      <c r="AI424" s="122"/>
      <c r="AJ424" s="32"/>
      <c r="AK424" s="122"/>
      <c r="AL424" s="32"/>
      <c r="AM424" s="122"/>
      <c r="AN424" s="122"/>
      <c r="AO424" s="12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</row>
    <row r="425" spans="1:52" ht="15.75" customHeight="1">
      <c r="A425" s="122"/>
      <c r="B425" s="122"/>
      <c r="C425" s="122"/>
      <c r="D425" s="123"/>
      <c r="E425" s="123"/>
      <c r="F425" s="122"/>
      <c r="G425" s="122"/>
      <c r="H425" s="124"/>
      <c r="I425" s="122"/>
      <c r="J425" s="122"/>
      <c r="K425" s="122"/>
      <c r="L425" s="125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6"/>
      <c r="AE425" s="122"/>
      <c r="AF425" s="126"/>
      <c r="AG425" s="122"/>
      <c r="AH425" s="126"/>
      <c r="AI425" s="122"/>
      <c r="AJ425" s="32"/>
      <c r="AK425" s="122"/>
      <c r="AL425" s="32"/>
      <c r="AM425" s="122"/>
      <c r="AN425" s="122"/>
      <c r="AO425" s="12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</row>
    <row r="426" spans="1:52" ht="15.75" customHeight="1">
      <c r="A426" s="122"/>
      <c r="B426" s="122"/>
      <c r="C426" s="122"/>
      <c r="D426" s="123"/>
      <c r="E426" s="123"/>
      <c r="F426" s="122"/>
      <c r="G426" s="122"/>
      <c r="H426" s="124"/>
      <c r="I426" s="122"/>
      <c r="J426" s="122"/>
      <c r="K426" s="122"/>
      <c r="L426" s="125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6"/>
      <c r="AE426" s="122"/>
      <c r="AF426" s="126"/>
      <c r="AG426" s="122"/>
      <c r="AH426" s="126"/>
      <c r="AI426" s="122"/>
      <c r="AJ426" s="32"/>
      <c r="AK426" s="122"/>
      <c r="AL426" s="32"/>
      <c r="AM426" s="122"/>
      <c r="AN426" s="122"/>
      <c r="AO426" s="12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</row>
    <row r="427" spans="1:52" ht="15.75" customHeight="1">
      <c r="A427" s="122"/>
      <c r="B427" s="122"/>
      <c r="C427" s="122"/>
      <c r="D427" s="123"/>
      <c r="E427" s="123"/>
      <c r="F427" s="122"/>
      <c r="G427" s="122"/>
      <c r="H427" s="124"/>
      <c r="I427" s="122"/>
      <c r="J427" s="122"/>
      <c r="K427" s="122"/>
      <c r="L427" s="125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6"/>
      <c r="AE427" s="122"/>
      <c r="AF427" s="126"/>
      <c r="AG427" s="122"/>
      <c r="AH427" s="126"/>
      <c r="AI427" s="122"/>
      <c r="AJ427" s="32"/>
      <c r="AK427" s="122"/>
      <c r="AL427" s="32"/>
      <c r="AM427" s="122"/>
      <c r="AN427" s="122"/>
      <c r="AO427" s="12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</row>
    <row r="428" spans="1:52" ht="15.75" customHeight="1">
      <c r="A428" s="122"/>
      <c r="B428" s="122"/>
      <c r="C428" s="122"/>
      <c r="D428" s="123"/>
      <c r="E428" s="123"/>
      <c r="F428" s="122"/>
      <c r="G428" s="122"/>
      <c r="H428" s="124"/>
      <c r="I428" s="122"/>
      <c r="J428" s="122"/>
      <c r="K428" s="122"/>
      <c r="L428" s="125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6"/>
      <c r="AE428" s="122"/>
      <c r="AF428" s="126"/>
      <c r="AG428" s="122"/>
      <c r="AH428" s="126"/>
      <c r="AI428" s="122"/>
      <c r="AJ428" s="32"/>
      <c r="AK428" s="122"/>
      <c r="AL428" s="32"/>
      <c r="AM428" s="122"/>
      <c r="AN428" s="122"/>
      <c r="AO428" s="12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</row>
    <row r="429" spans="1:52" ht="15.75" customHeight="1">
      <c r="A429" s="122"/>
      <c r="B429" s="122"/>
      <c r="C429" s="122"/>
      <c r="D429" s="123"/>
      <c r="E429" s="123"/>
      <c r="F429" s="122"/>
      <c r="G429" s="122"/>
      <c r="H429" s="124"/>
      <c r="I429" s="122"/>
      <c r="J429" s="122"/>
      <c r="K429" s="122"/>
      <c r="L429" s="125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6"/>
      <c r="AE429" s="122"/>
      <c r="AF429" s="126"/>
      <c r="AG429" s="122"/>
      <c r="AH429" s="126"/>
      <c r="AI429" s="122"/>
      <c r="AJ429" s="32"/>
      <c r="AK429" s="122"/>
      <c r="AL429" s="32"/>
      <c r="AM429" s="122"/>
      <c r="AN429" s="122"/>
      <c r="AO429" s="12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</row>
    <row r="430" spans="1:52" ht="15.75" customHeight="1">
      <c r="A430" s="122"/>
      <c r="B430" s="122"/>
      <c r="C430" s="122"/>
      <c r="D430" s="123"/>
      <c r="E430" s="123"/>
      <c r="F430" s="122"/>
      <c r="G430" s="122"/>
      <c r="H430" s="124"/>
      <c r="I430" s="122"/>
      <c r="J430" s="122"/>
      <c r="K430" s="122"/>
      <c r="L430" s="125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6"/>
      <c r="AE430" s="122"/>
      <c r="AF430" s="126"/>
      <c r="AG430" s="122"/>
      <c r="AH430" s="126"/>
      <c r="AI430" s="122"/>
      <c r="AJ430" s="32"/>
      <c r="AK430" s="122"/>
      <c r="AL430" s="32"/>
      <c r="AM430" s="122"/>
      <c r="AN430" s="122"/>
      <c r="AO430" s="12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</row>
    <row r="431" spans="1:52" ht="15.75" customHeight="1">
      <c r="A431" s="122"/>
      <c r="B431" s="122"/>
      <c r="C431" s="122"/>
      <c r="D431" s="123"/>
      <c r="E431" s="123"/>
      <c r="F431" s="122"/>
      <c r="G431" s="122"/>
      <c r="H431" s="124"/>
      <c r="I431" s="122"/>
      <c r="J431" s="122"/>
      <c r="K431" s="122"/>
      <c r="L431" s="125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6"/>
      <c r="AE431" s="122"/>
      <c r="AF431" s="126"/>
      <c r="AG431" s="122"/>
      <c r="AH431" s="126"/>
      <c r="AI431" s="122"/>
      <c r="AJ431" s="32"/>
      <c r="AK431" s="122"/>
      <c r="AL431" s="32"/>
      <c r="AM431" s="122"/>
      <c r="AN431" s="122"/>
      <c r="AO431" s="12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</row>
    <row r="432" spans="1:52" ht="15.75" customHeight="1">
      <c r="A432" s="122"/>
      <c r="B432" s="122"/>
      <c r="C432" s="122"/>
      <c r="D432" s="123"/>
      <c r="E432" s="123"/>
      <c r="F432" s="122"/>
      <c r="G432" s="122"/>
      <c r="H432" s="124"/>
      <c r="I432" s="122"/>
      <c r="J432" s="122"/>
      <c r="K432" s="122"/>
      <c r="L432" s="125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6"/>
      <c r="AE432" s="122"/>
      <c r="AF432" s="126"/>
      <c r="AG432" s="122"/>
      <c r="AH432" s="126"/>
      <c r="AI432" s="122"/>
      <c r="AJ432" s="32"/>
      <c r="AK432" s="122"/>
      <c r="AL432" s="32"/>
      <c r="AM432" s="122"/>
      <c r="AN432" s="122"/>
      <c r="AO432" s="12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</row>
    <row r="433" spans="1:52" ht="15.75" customHeight="1">
      <c r="A433" s="122"/>
      <c r="B433" s="122"/>
      <c r="C433" s="122"/>
      <c r="D433" s="123"/>
      <c r="E433" s="123"/>
      <c r="F433" s="122"/>
      <c r="G433" s="122"/>
      <c r="H433" s="124"/>
      <c r="I433" s="122"/>
      <c r="J433" s="122"/>
      <c r="K433" s="122"/>
      <c r="L433" s="125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6"/>
      <c r="AE433" s="122"/>
      <c r="AF433" s="126"/>
      <c r="AG433" s="122"/>
      <c r="AH433" s="126"/>
      <c r="AI433" s="122"/>
      <c r="AJ433" s="32"/>
      <c r="AK433" s="122"/>
      <c r="AL433" s="32"/>
      <c r="AM433" s="122"/>
      <c r="AN433" s="122"/>
      <c r="AO433" s="12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</row>
    <row r="434" spans="1:52" ht="15.75" customHeight="1">
      <c r="A434" s="122"/>
      <c r="B434" s="122"/>
      <c r="C434" s="122"/>
      <c r="D434" s="123"/>
      <c r="E434" s="123"/>
      <c r="F434" s="122"/>
      <c r="G434" s="122"/>
      <c r="H434" s="124"/>
      <c r="I434" s="122"/>
      <c r="J434" s="122"/>
      <c r="K434" s="122"/>
      <c r="L434" s="125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6"/>
      <c r="AE434" s="122"/>
      <c r="AF434" s="126"/>
      <c r="AG434" s="122"/>
      <c r="AH434" s="126"/>
      <c r="AI434" s="122"/>
      <c r="AJ434" s="32"/>
      <c r="AK434" s="122"/>
      <c r="AL434" s="32"/>
      <c r="AM434" s="122"/>
      <c r="AN434" s="122"/>
      <c r="AO434" s="12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</row>
    <row r="435" spans="1:52" ht="15.75" customHeight="1">
      <c r="A435" s="122"/>
      <c r="B435" s="122"/>
      <c r="C435" s="122"/>
      <c r="D435" s="123"/>
      <c r="E435" s="123"/>
      <c r="F435" s="122"/>
      <c r="G435" s="122"/>
      <c r="H435" s="124"/>
      <c r="I435" s="122"/>
      <c r="J435" s="122"/>
      <c r="K435" s="122"/>
      <c r="L435" s="125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6"/>
      <c r="AE435" s="122"/>
      <c r="AF435" s="126"/>
      <c r="AG435" s="122"/>
      <c r="AH435" s="126"/>
      <c r="AI435" s="122"/>
      <c r="AJ435" s="32"/>
      <c r="AK435" s="122"/>
      <c r="AL435" s="32"/>
      <c r="AM435" s="122"/>
      <c r="AN435" s="122"/>
      <c r="AO435" s="12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</row>
    <row r="436" spans="1:52" ht="15.75" customHeight="1">
      <c r="A436" s="122"/>
      <c r="B436" s="122"/>
      <c r="C436" s="122"/>
      <c r="D436" s="123"/>
      <c r="E436" s="123"/>
      <c r="F436" s="122"/>
      <c r="G436" s="122"/>
      <c r="H436" s="124"/>
      <c r="I436" s="122"/>
      <c r="J436" s="122"/>
      <c r="K436" s="122"/>
      <c r="L436" s="125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6"/>
      <c r="AE436" s="122"/>
      <c r="AF436" s="126"/>
      <c r="AG436" s="122"/>
      <c r="AH436" s="126"/>
      <c r="AI436" s="122"/>
      <c r="AJ436" s="32"/>
      <c r="AK436" s="122"/>
      <c r="AL436" s="32"/>
      <c r="AM436" s="122"/>
      <c r="AN436" s="122"/>
      <c r="AO436" s="12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</row>
    <row r="437" spans="1:52" ht="15.75" customHeight="1">
      <c r="A437" s="122"/>
      <c r="B437" s="122"/>
      <c r="C437" s="122"/>
      <c r="D437" s="123"/>
      <c r="E437" s="123"/>
      <c r="F437" s="122"/>
      <c r="G437" s="122"/>
      <c r="H437" s="124"/>
      <c r="I437" s="122"/>
      <c r="J437" s="122"/>
      <c r="K437" s="122"/>
      <c r="L437" s="125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6"/>
      <c r="AE437" s="122"/>
      <c r="AF437" s="126"/>
      <c r="AG437" s="122"/>
      <c r="AH437" s="126"/>
      <c r="AI437" s="122"/>
      <c r="AJ437" s="32"/>
      <c r="AK437" s="122"/>
      <c r="AL437" s="32"/>
      <c r="AM437" s="122"/>
      <c r="AN437" s="122"/>
      <c r="AO437" s="12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</row>
    <row r="438" spans="1:52" ht="15.75" customHeight="1">
      <c r="A438" s="122"/>
      <c r="B438" s="122"/>
      <c r="C438" s="122"/>
      <c r="D438" s="123"/>
      <c r="E438" s="123"/>
      <c r="F438" s="122"/>
      <c r="G438" s="122"/>
      <c r="H438" s="124"/>
      <c r="I438" s="122"/>
      <c r="J438" s="122"/>
      <c r="K438" s="122"/>
      <c r="L438" s="125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6"/>
      <c r="AE438" s="122"/>
      <c r="AF438" s="126"/>
      <c r="AG438" s="122"/>
      <c r="AH438" s="126"/>
      <c r="AI438" s="122"/>
      <c r="AJ438" s="32"/>
      <c r="AK438" s="122"/>
      <c r="AL438" s="32"/>
      <c r="AM438" s="122"/>
      <c r="AN438" s="122"/>
      <c r="AO438" s="12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</row>
    <row r="439" spans="1:52" ht="15.75" customHeight="1">
      <c r="A439" s="122"/>
      <c r="B439" s="122"/>
      <c r="C439" s="122"/>
      <c r="D439" s="123"/>
      <c r="E439" s="123"/>
      <c r="F439" s="122"/>
      <c r="G439" s="122"/>
      <c r="H439" s="124"/>
      <c r="I439" s="122"/>
      <c r="J439" s="122"/>
      <c r="K439" s="122"/>
      <c r="L439" s="125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6"/>
      <c r="AE439" s="122"/>
      <c r="AF439" s="126"/>
      <c r="AG439" s="122"/>
      <c r="AH439" s="126"/>
      <c r="AI439" s="122"/>
      <c r="AJ439" s="32"/>
      <c r="AK439" s="122"/>
      <c r="AL439" s="32"/>
      <c r="AM439" s="122"/>
      <c r="AN439" s="122"/>
      <c r="AO439" s="12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</row>
    <row r="440" spans="1:52" ht="15.75" customHeight="1">
      <c r="A440" s="122"/>
      <c r="B440" s="122"/>
      <c r="C440" s="122"/>
      <c r="D440" s="123"/>
      <c r="E440" s="123"/>
      <c r="F440" s="122"/>
      <c r="G440" s="122"/>
      <c r="H440" s="124"/>
      <c r="I440" s="122"/>
      <c r="J440" s="122"/>
      <c r="K440" s="122"/>
      <c r="L440" s="125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6"/>
      <c r="AE440" s="122"/>
      <c r="AF440" s="126"/>
      <c r="AG440" s="122"/>
      <c r="AH440" s="126"/>
      <c r="AI440" s="122"/>
      <c r="AJ440" s="32"/>
      <c r="AK440" s="122"/>
      <c r="AL440" s="32"/>
      <c r="AM440" s="122"/>
      <c r="AN440" s="122"/>
      <c r="AO440" s="12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</row>
    <row r="441" spans="1:52" ht="15.75" customHeight="1">
      <c r="A441" s="122"/>
      <c r="B441" s="122"/>
      <c r="C441" s="122"/>
      <c r="D441" s="123"/>
      <c r="E441" s="123"/>
      <c r="F441" s="122"/>
      <c r="G441" s="122"/>
      <c r="H441" s="124"/>
      <c r="I441" s="122"/>
      <c r="J441" s="122"/>
      <c r="K441" s="122"/>
      <c r="L441" s="125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6"/>
      <c r="AE441" s="122"/>
      <c r="AF441" s="126"/>
      <c r="AG441" s="122"/>
      <c r="AH441" s="126"/>
      <c r="AI441" s="122"/>
      <c r="AJ441" s="32"/>
      <c r="AK441" s="122"/>
      <c r="AL441" s="32"/>
      <c r="AM441" s="122"/>
      <c r="AN441" s="122"/>
      <c r="AO441" s="12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</row>
    <row r="442" spans="1:52" ht="15.75" customHeight="1">
      <c r="A442" s="122"/>
      <c r="B442" s="122"/>
      <c r="C442" s="122"/>
      <c r="D442" s="123"/>
      <c r="E442" s="123"/>
      <c r="F442" s="122"/>
      <c r="G442" s="122"/>
      <c r="H442" s="124"/>
      <c r="I442" s="122"/>
      <c r="J442" s="122"/>
      <c r="K442" s="122"/>
      <c r="L442" s="125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6"/>
      <c r="AE442" s="122"/>
      <c r="AF442" s="126"/>
      <c r="AG442" s="122"/>
      <c r="AH442" s="126"/>
      <c r="AI442" s="122"/>
      <c r="AJ442" s="32"/>
      <c r="AK442" s="122"/>
      <c r="AL442" s="32"/>
      <c r="AM442" s="122"/>
      <c r="AN442" s="122"/>
      <c r="AO442" s="12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</row>
    <row r="443" spans="1:52" ht="15.75" customHeight="1">
      <c r="A443" s="122"/>
      <c r="B443" s="122"/>
      <c r="C443" s="122"/>
      <c r="D443" s="123"/>
      <c r="E443" s="123"/>
      <c r="F443" s="122"/>
      <c r="G443" s="122"/>
      <c r="H443" s="124"/>
      <c r="I443" s="122"/>
      <c r="J443" s="122"/>
      <c r="K443" s="122"/>
      <c r="L443" s="125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6"/>
      <c r="AE443" s="122"/>
      <c r="AF443" s="126"/>
      <c r="AG443" s="122"/>
      <c r="AH443" s="126"/>
      <c r="AI443" s="122"/>
      <c r="AJ443" s="32"/>
      <c r="AK443" s="122"/>
      <c r="AL443" s="32"/>
      <c r="AM443" s="122"/>
      <c r="AN443" s="122"/>
      <c r="AO443" s="12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</row>
    <row r="444" spans="1:52" ht="15.75" customHeight="1">
      <c r="A444" s="122"/>
      <c r="B444" s="122"/>
      <c r="C444" s="122"/>
      <c r="D444" s="123"/>
      <c r="E444" s="123"/>
      <c r="F444" s="122"/>
      <c r="G444" s="122"/>
      <c r="H444" s="124"/>
      <c r="I444" s="122"/>
      <c r="J444" s="122"/>
      <c r="K444" s="122"/>
      <c r="L444" s="125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6"/>
      <c r="AE444" s="122"/>
      <c r="AF444" s="126"/>
      <c r="AG444" s="122"/>
      <c r="AH444" s="126"/>
      <c r="AI444" s="122"/>
      <c r="AJ444" s="32"/>
      <c r="AK444" s="122"/>
      <c r="AL444" s="32"/>
      <c r="AM444" s="122"/>
      <c r="AN444" s="122"/>
      <c r="AO444" s="12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</row>
    <row r="445" spans="1:52" ht="15.75" customHeight="1">
      <c r="A445" s="122"/>
      <c r="B445" s="122"/>
      <c r="C445" s="122"/>
      <c r="D445" s="123"/>
      <c r="E445" s="123"/>
      <c r="F445" s="122"/>
      <c r="G445" s="122"/>
      <c r="H445" s="124"/>
      <c r="I445" s="122"/>
      <c r="J445" s="122"/>
      <c r="K445" s="122"/>
      <c r="L445" s="125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6"/>
      <c r="AE445" s="122"/>
      <c r="AF445" s="126"/>
      <c r="AG445" s="122"/>
      <c r="AH445" s="126"/>
      <c r="AI445" s="122"/>
      <c r="AJ445" s="32"/>
      <c r="AK445" s="122"/>
      <c r="AL445" s="32"/>
      <c r="AM445" s="122"/>
      <c r="AN445" s="122"/>
      <c r="AO445" s="12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</row>
    <row r="446" spans="1:52" ht="15.75" customHeight="1">
      <c r="A446" s="122"/>
      <c r="B446" s="122"/>
      <c r="C446" s="122"/>
      <c r="D446" s="123"/>
      <c r="E446" s="123"/>
      <c r="F446" s="122"/>
      <c r="G446" s="122"/>
      <c r="H446" s="124"/>
      <c r="I446" s="122"/>
      <c r="J446" s="122"/>
      <c r="K446" s="122"/>
      <c r="L446" s="125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6"/>
      <c r="AE446" s="122"/>
      <c r="AF446" s="126"/>
      <c r="AG446" s="122"/>
      <c r="AH446" s="126"/>
      <c r="AI446" s="122"/>
      <c r="AJ446" s="32"/>
      <c r="AK446" s="122"/>
      <c r="AL446" s="32"/>
      <c r="AM446" s="122"/>
      <c r="AN446" s="122"/>
      <c r="AO446" s="12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</row>
    <row r="447" spans="1:52" ht="15.75" customHeight="1">
      <c r="A447" s="122"/>
      <c r="B447" s="122"/>
      <c r="C447" s="122"/>
      <c r="D447" s="123"/>
      <c r="E447" s="123"/>
      <c r="F447" s="122"/>
      <c r="G447" s="122"/>
      <c r="H447" s="124"/>
      <c r="I447" s="122"/>
      <c r="J447" s="122"/>
      <c r="K447" s="122"/>
      <c r="L447" s="125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6"/>
      <c r="AE447" s="122"/>
      <c r="AF447" s="126"/>
      <c r="AG447" s="122"/>
      <c r="AH447" s="126"/>
      <c r="AI447" s="122"/>
      <c r="AJ447" s="32"/>
      <c r="AK447" s="122"/>
      <c r="AL447" s="32"/>
      <c r="AM447" s="122"/>
      <c r="AN447" s="122"/>
      <c r="AO447" s="12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</row>
    <row r="448" spans="1:52" ht="15.75" customHeight="1">
      <c r="A448" s="122"/>
      <c r="B448" s="122"/>
      <c r="C448" s="122"/>
      <c r="D448" s="123"/>
      <c r="E448" s="123"/>
      <c r="F448" s="122"/>
      <c r="G448" s="122"/>
      <c r="H448" s="124"/>
      <c r="I448" s="122"/>
      <c r="J448" s="122"/>
      <c r="K448" s="122"/>
      <c r="L448" s="125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6"/>
      <c r="AE448" s="122"/>
      <c r="AF448" s="126"/>
      <c r="AG448" s="122"/>
      <c r="AH448" s="126"/>
      <c r="AI448" s="122"/>
      <c r="AJ448" s="32"/>
      <c r="AK448" s="122"/>
      <c r="AL448" s="32"/>
      <c r="AM448" s="122"/>
      <c r="AN448" s="122"/>
      <c r="AO448" s="12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</row>
    <row r="449" spans="1:52" ht="15.75" customHeight="1">
      <c r="A449" s="122"/>
      <c r="B449" s="122"/>
      <c r="C449" s="122"/>
      <c r="D449" s="123"/>
      <c r="E449" s="123"/>
      <c r="F449" s="122"/>
      <c r="G449" s="122"/>
      <c r="H449" s="124"/>
      <c r="I449" s="122"/>
      <c r="J449" s="122"/>
      <c r="K449" s="122"/>
      <c r="L449" s="125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6"/>
      <c r="AE449" s="122"/>
      <c r="AF449" s="126"/>
      <c r="AG449" s="122"/>
      <c r="AH449" s="126"/>
      <c r="AI449" s="122"/>
      <c r="AJ449" s="32"/>
      <c r="AK449" s="122"/>
      <c r="AL449" s="32"/>
      <c r="AM449" s="122"/>
      <c r="AN449" s="122"/>
      <c r="AO449" s="12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</row>
    <row r="450" spans="1:52" ht="15.75" customHeight="1">
      <c r="A450" s="122"/>
      <c r="B450" s="122"/>
      <c r="C450" s="122"/>
      <c r="D450" s="123"/>
      <c r="E450" s="123"/>
      <c r="F450" s="122"/>
      <c r="G450" s="122"/>
      <c r="H450" s="124"/>
      <c r="I450" s="122"/>
      <c r="J450" s="122"/>
      <c r="K450" s="122"/>
      <c r="L450" s="125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6"/>
      <c r="AE450" s="122"/>
      <c r="AF450" s="126"/>
      <c r="AG450" s="122"/>
      <c r="AH450" s="126"/>
      <c r="AI450" s="122"/>
      <c r="AJ450" s="32"/>
      <c r="AK450" s="122"/>
      <c r="AL450" s="32"/>
      <c r="AM450" s="122"/>
      <c r="AN450" s="122"/>
      <c r="AO450" s="12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</row>
    <row r="451" spans="1:52" ht="15.75" customHeight="1">
      <c r="A451" s="122"/>
      <c r="B451" s="122"/>
      <c r="C451" s="122"/>
      <c r="D451" s="123"/>
      <c r="E451" s="123"/>
      <c r="F451" s="122"/>
      <c r="G451" s="122"/>
      <c r="H451" s="124"/>
      <c r="I451" s="122"/>
      <c r="J451" s="122"/>
      <c r="K451" s="122"/>
      <c r="L451" s="125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6"/>
      <c r="AE451" s="122"/>
      <c r="AF451" s="126"/>
      <c r="AG451" s="122"/>
      <c r="AH451" s="126"/>
      <c r="AI451" s="122"/>
      <c r="AJ451" s="32"/>
      <c r="AK451" s="122"/>
      <c r="AL451" s="32"/>
      <c r="AM451" s="122"/>
      <c r="AN451" s="122"/>
      <c r="AO451" s="12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</row>
    <row r="452" spans="1:52" ht="15.75" customHeight="1">
      <c r="A452" s="122"/>
      <c r="B452" s="122"/>
      <c r="C452" s="122"/>
      <c r="D452" s="123"/>
      <c r="E452" s="123"/>
      <c r="F452" s="122"/>
      <c r="G452" s="122"/>
      <c r="H452" s="124"/>
      <c r="I452" s="122"/>
      <c r="J452" s="122"/>
      <c r="K452" s="122"/>
      <c r="L452" s="125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6"/>
      <c r="AE452" s="122"/>
      <c r="AF452" s="126"/>
      <c r="AG452" s="122"/>
      <c r="AH452" s="126"/>
      <c r="AI452" s="122"/>
      <c r="AJ452" s="32"/>
      <c r="AK452" s="122"/>
      <c r="AL452" s="32"/>
      <c r="AM452" s="122"/>
      <c r="AN452" s="122"/>
      <c r="AO452" s="12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</row>
    <row r="453" spans="1:52" ht="15.75" customHeight="1">
      <c r="A453" s="122"/>
      <c r="B453" s="122"/>
      <c r="C453" s="122"/>
      <c r="D453" s="123"/>
      <c r="E453" s="123"/>
      <c r="F453" s="122"/>
      <c r="G453" s="122"/>
      <c r="H453" s="124"/>
      <c r="I453" s="122"/>
      <c r="J453" s="122"/>
      <c r="K453" s="122"/>
      <c r="L453" s="125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6"/>
      <c r="AE453" s="122"/>
      <c r="AF453" s="126"/>
      <c r="AG453" s="122"/>
      <c r="AH453" s="126"/>
      <c r="AI453" s="122"/>
      <c r="AJ453" s="32"/>
      <c r="AK453" s="122"/>
      <c r="AL453" s="32"/>
      <c r="AM453" s="122"/>
      <c r="AN453" s="122"/>
      <c r="AO453" s="12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</row>
    <row r="454" spans="1:52" ht="15.75" customHeight="1">
      <c r="A454" s="122"/>
      <c r="B454" s="122"/>
      <c r="C454" s="122"/>
      <c r="D454" s="123"/>
      <c r="E454" s="123"/>
      <c r="F454" s="122"/>
      <c r="G454" s="122"/>
      <c r="H454" s="124"/>
      <c r="I454" s="122"/>
      <c r="J454" s="122"/>
      <c r="K454" s="122"/>
      <c r="L454" s="125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6"/>
      <c r="AE454" s="122"/>
      <c r="AF454" s="126"/>
      <c r="AG454" s="122"/>
      <c r="AH454" s="126"/>
      <c r="AI454" s="122"/>
      <c r="AJ454" s="32"/>
      <c r="AK454" s="122"/>
      <c r="AL454" s="32"/>
      <c r="AM454" s="122"/>
      <c r="AN454" s="122"/>
      <c r="AO454" s="12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</row>
    <row r="455" spans="1:52" ht="15.75" customHeight="1">
      <c r="A455" s="122"/>
      <c r="B455" s="122"/>
      <c r="C455" s="122"/>
      <c r="D455" s="123"/>
      <c r="E455" s="123"/>
      <c r="F455" s="122"/>
      <c r="G455" s="122"/>
      <c r="H455" s="124"/>
      <c r="I455" s="122"/>
      <c r="J455" s="122"/>
      <c r="K455" s="122"/>
      <c r="L455" s="125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6"/>
      <c r="AE455" s="122"/>
      <c r="AF455" s="126"/>
      <c r="AG455" s="122"/>
      <c r="AH455" s="126"/>
      <c r="AI455" s="122"/>
      <c r="AJ455" s="32"/>
      <c r="AK455" s="122"/>
      <c r="AL455" s="32"/>
      <c r="AM455" s="122"/>
      <c r="AN455" s="122"/>
      <c r="AO455" s="12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</row>
    <row r="456" spans="1:52" ht="15.75" customHeight="1">
      <c r="A456" s="122"/>
      <c r="B456" s="122"/>
      <c r="C456" s="122"/>
      <c r="D456" s="123"/>
      <c r="E456" s="123"/>
      <c r="F456" s="122"/>
      <c r="G456" s="122"/>
      <c r="H456" s="124"/>
      <c r="I456" s="122"/>
      <c r="J456" s="122"/>
      <c r="K456" s="122"/>
      <c r="L456" s="125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6"/>
      <c r="AE456" s="122"/>
      <c r="AF456" s="126"/>
      <c r="AG456" s="122"/>
      <c r="AH456" s="126"/>
      <c r="AI456" s="122"/>
      <c r="AJ456" s="32"/>
      <c r="AK456" s="122"/>
      <c r="AL456" s="32"/>
      <c r="AM456" s="122"/>
      <c r="AN456" s="122"/>
      <c r="AO456" s="12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</row>
    <row r="457" spans="1:52" ht="15.75" customHeight="1">
      <c r="A457" s="122"/>
      <c r="B457" s="122"/>
      <c r="C457" s="122"/>
      <c r="D457" s="123"/>
      <c r="E457" s="123"/>
      <c r="F457" s="122"/>
      <c r="G457" s="122"/>
      <c r="H457" s="124"/>
      <c r="I457" s="122"/>
      <c r="J457" s="122"/>
      <c r="K457" s="122"/>
      <c r="L457" s="125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6"/>
      <c r="AE457" s="122"/>
      <c r="AF457" s="126"/>
      <c r="AG457" s="122"/>
      <c r="AH457" s="126"/>
      <c r="AI457" s="122"/>
      <c r="AJ457" s="32"/>
      <c r="AK457" s="122"/>
      <c r="AL457" s="32"/>
      <c r="AM457" s="122"/>
      <c r="AN457" s="122"/>
      <c r="AO457" s="12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</row>
    <row r="458" spans="1:52" ht="15.75" customHeight="1">
      <c r="A458" s="122"/>
      <c r="B458" s="122"/>
      <c r="C458" s="122"/>
      <c r="D458" s="123"/>
      <c r="E458" s="123"/>
      <c r="F458" s="122"/>
      <c r="G458" s="122"/>
      <c r="H458" s="124"/>
      <c r="I458" s="122"/>
      <c r="J458" s="122"/>
      <c r="K458" s="122"/>
      <c r="L458" s="125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6"/>
      <c r="AE458" s="122"/>
      <c r="AF458" s="126"/>
      <c r="AG458" s="122"/>
      <c r="AH458" s="126"/>
      <c r="AI458" s="122"/>
      <c r="AJ458" s="32"/>
      <c r="AK458" s="122"/>
      <c r="AL458" s="32"/>
      <c r="AM458" s="122"/>
      <c r="AN458" s="122"/>
      <c r="AO458" s="12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</row>
    <row r="459" spans="1:52" ht="15.75" customHeight="1">
      <c r="A459" s="122"/>
      <c r="B459" s="122"/>
      <c r="C459" s="122"/>
      <c r="D459" s="123"/>
      <c r="E459" s="123"/>
      <c r="F459" s="122"/>
      <c r="G459" s="122"/>
      <c r="H459" s="124"/>
      <c r="I459" s="122"/>
      <c r="J459" s="122"/>
      <c r="K459" s="122"/>
      <c r="L459" s="125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6"/>
      <c r="AE459" s="122"/>
      <c r="AF459" s="126"/>
      <c r="AG459" s="122"/>
      <c r="AH459" s="126"/>
      <c r="AI459" s="122"/>
      <c r="AJ459" s="32"/>
      <c r="AK459" s="122"/>
      <c r="AL459" s="32"/>
      <c r="AM459" s="122"/>
      <c r="AN459" s="122"/>
      <c r="AO459" s="12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</row>
    <row r="460" spans="1:52" ht="15.75" customHeight="1">
      <c r="A460" s="122"/>
      <c r="B460" s="122"/>
      <c r="C460" s="122"/>
      <c r="D460" s="123"/>
      <c r="E460" s="123"/>
      <c r="F460" s="122"/>
      <c r="G460" s="122"/>
      <c r="H460" s="124"/>
      <c r="I460" s="122"/>
      <c r="J460" s="122"/>
      <c r="K460" s="122"/>
      <c r="L460" s="125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6"/>
      <c r="AE460" s="122"/>
      <c r="AF460" s="126"/>
      <c r="AG460" s="122"/>
      <c r="AH460" s="126"/>
      <c r="AI460" s="122"/>
      <c r="AJ460" s="32"/>
      <c r="AK460" s="122"/>
      <c r="AL460" s="32"/>
      <c r="AM460" s="122"/>
      <c r="AN460" s="122"/>
      <c r="AO460" s="12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</row>
    <row r="461" spans="1:52" ht="15.75" customHeight="1">
      <c r="A461" s="122"/>
      <c r="B461" s="122"/>
      <c r="C461" s="122"/>
      <c r="D461" s="123"/>
      <c r="E461" s="123"/>
      <c r="F461" s="122"/>
      <c r="G461" s="122"/>
      <c r="H461" s="124"/>
      <c r="I461" s="122"/>
      <c r="J461" s="122"/>
      <c r="K461" s="122"/>
      <c r="L461" s="125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6"/>
      <c r="AE461" s="122"/>
      <c r="AF461" s="126"/>
      <c r="AG461" s="122"/>
      <c r="AH461" s="126"/>
      <c r="AI461" s="122"/>
      <c r="AJ461" s="32"/>
      <c r="AK461" s="122"/>
      <c r="AL461" s="32"/>
      <c r="AM461" s="122"/>
      <c r="AN461" s="122"/>
      <c r="AO461" s="12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</row>
    <row r="462" spans="1:52" ht="15.75" customHeight="1">
      <c r="A462" s="122"/>
      <c r="B462" s="122"/>
      <c r="C462" s="122"/>
      <c r="D462" s="123"/>
      <c r="E462" s="123"/>
      <c r="F462" s="122"/>
      <c r="G462" s="122"/>
      <c r="H462" s="124"/>
      <c r="I462" s="122"/>
      <c r="J462" s="122"/>
      <c r="K462" s="122"/>
      <c r="L462" s="125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6"/>
      <c r="AE462" s="122"/>
      <c r="AF462" s="126"/>
      <c r="AG462" s="122"/>
      <c r="AH462" s="126"/>
      <c r="AI462" s="122"/>
      <c r="AJ462" s="32"/>
      <c r="AK462" s="122"/>
      <c r="AL462" s="32"/>
      <c r="AM462" s="122"/>
      <c r="AN462" s="122"/>
      <c r="AO462" s="12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</row>
    <row r="463" spans="1:52" ht="15.75" customHeight="1">
      <c r="A463" s="122"/>
      <c r="B463" s="122"/>
      <c r="C463" s="122"/>
      <c r="D463" s="123"/>
      <c r="E463" s="123"/>
      <c r="F463" s="122"/>
      <c r="G463" s="122"/>
      <c r="H463" s="124"/>
      <c r="I463" s="122"/>
      <c r="J463" s="122"/>
      <c r="K463" s="122"/>
      <c r="L463" s="125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6"/>
      <c r="AE463" s="122"/>
      <c r="AF463" s="126"/>
      <c r="AG463" s="122"/>
      <c r="AH463" s="126"/>
      <c r="AI463" s="122"/>
      <c r="AJ463" s="32"/>
      <c r="AK463" s="122"/>
      <c r="AL463" s="32"/>
      <c r="AM463" s="122"/>
      <c r="AN463" s="122"/>
      <c r="AO463" s="12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</row>
    <row r="464" spans="1:52" ht="15.75" customHeight="1">
      <c r="A464" s="122"/>
      <c r="B464" s="122"/>
      <c r="C464" s="122"/>
      <c r="D464" s="123"/>
      <c r="E464" s="123"/>
      <c r="F464" s="122"/>
      <c r="G464" s="122"/>
      <c r="H464" s="124"/>
      <c r="I464" s="122"/>
      <c r="J464" s="122"/>
      <c r="K464" s="122"/>
      <c r="L464" s="125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6"/>
      <c r="AE464" s="122"/>
      <c r="AF464" s="126"/>
      <c r="AG464" s="122"/>
      <c r="AH464" s="126"/>
      <c r="AI464" s="122"/>
      <c r="AJ464" s="32"/>
      <c r="AK464" s="122"/>
      <c r="AL464" s="32"/>
      <c r="AM464" s="122"/>
      <c r="AN464" s="122"/>
      <c r="AO464" s="12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</row>
    <row r="465" spans="1:52" ht="15.75" customHeight="1">
      <c r="A465" s="122"/>
      <c r="B465" s="122"/>
      <c r="C465" s="122"/>
      <c r="D465" s="123"/>
      <c r="E465" s="123"/>
      <c r="F465" s="122"/>
      <c r="G465" s="122"/>
      <c r="H465" s="124"/>
      <c r="I465" s="122"/>
      <c r="J465" s="122"/>
      <c r="K465" s="122"/>
      <c r="L465" s="125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6"/>
      <c r="AE465" s="122"/>
      <c r="AF465" s="126"/>
      <c r="AG465" s="122"/>
      <c r="AH465" s="126"/>
      <c r="AI465" s="122"/>
      <c r="AJ465" s="32"/>
      <c r="AK465" s="122"/>
      <c r="AL465" s="32"/>
      <c r="AM465" s="122"/>
      <c r="AN465" s="122"/>
      <c r="AO465" s="12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</row>
    <row r="466" spans="1:52" ht="15.75" customHeight="1">
      <c r="A466" s="122"/>
      <c r="B466" s="122"/>
      <c r="C466" s="122"/>
      <c r="D466" s="123"/>
      <c r="E466" s="123"/>
      <c r="F466" s="122"/>
      <c r="G466" s="122"/>
      <c r="H466" s="124"/>
      <c r="I466" s="122"/>
      <c r="J466" s="122"/>
      <c r="K466" s="122"/>
      <c r="L466" s="125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6"/>
      <c r="AE466" s="122"/>
      <c r="AF466" s="126"/>
      <c r="AG466" s="122"/>
      <c r="AH466" s="126"/>
      <c r="AI466" s="122"/>
      <c r="AJ466" s="32"/>
      <c r="AK466" s="122"/>
      <c r="AL466" s="32"/>
      <c r="AM466" s="122"/>
      <c r="AN466" s="122"/>
      <c r="AO466" s="12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</row>
    <row r="467" spans="1:52" ht="15.75" customHeight="1">
      <c r="A467" s="122"/>
      <c r="B467" s="122"/>
      <c r="C467" s="122"/>
      <c r="D467" s="123"/>
      <c r="E467" s="123"/>
      <c r="F467" s="122"/>
      <c r="G467" s="122"/>
      <c r="H467" s="124"/>
      <c r="I467" s="122"/>
      <c r="J467" s="122"/>
      <c r="K467" s="122"/>
      <c r="L467" s="125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6"/>
      <c r="AE467" s="122"/>
      <c r="AF467" s="126"/>
      <c r="AG467" s="122"/>
      <c r="AH467" s="126"/>
      <c r="AI467" s="122"/>
      <c r="AJ467" s="32"/>
      <c r="AK467" s="122"/>
      <c r="AL467" s="32"/>
      <c r="AM467" s="122"/>
      <c r="AN467" s="122"/>
      <c r="AO467" s="12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</row>
    <row r="468" spans="1:52" ht="15.75" customHeight="1">
      <c r="A468" s="122"/>
      <c r="B468" s="122"/>
      <c r="C468" s="122"/>
      <c r="D468" s="123"/>
      <c r="E468" s="123"/>
      <c r="F468" s="122"/>
      <c r="G468" s="122"/>
      <c r="H468" s="124"/>
      <c r="I468" s="122"/>
      <c r="J468" s="122"/>
      <c r="K468" s="122"/>
      <c r="L468" s="125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6"/>
      <c r="AE468" s="122"/>
      <c r="AF468" s="126"/>
      <c r="AG468" s="122"/>
      <c r="AH468" s="126"/>
      <c r="AI468" s="122"/>
      <c r="AJ468" s="32"/>
      <c r="AK468" s="122"/>
      <c r="AL468" s="32"/>
      <c r="AM468" s="122"/>
      <c r="AN468" s="122"/>
      <c r="AO468" s="12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</row>
    <row r="469" spans="1:52" ht="15.75" customHeight="1">
      <c r="A469" s="122"/>
      <c r="B469" s="122"/>
      <c r="C469" s="122"/>
      <c r="D469" s="123"/>
      <c r="E469" s="123"/>
      <c r="F469" s="122"/>
      <c r="G469" s="122"/>
      <c r="H469" s="124"/>
      <c r="I469" s="122"/>
      <c r="J469" s="122"/>
      <c r="K469" s="122"/>
      <c r="L469" s="125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6"/>
      <c r="AE469" s="122"/>
      <c r="AF469" s="126"/>
      <c r="AG469" s="122"/>
      <c r="AH469" s="126"/>
      <c r="AI469" s="122"/>
      <c r="AJ469" s="32"/>
      <c r="AK469" s="122"/>
      <c r="AL469" s="32"/>
      <c r="AM469" s="122"/>
      <c r="AN469" s="122"/>
      <c r="AO469" s="12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</row>
    <row r="470" spans="1:52" ht="15.75" customHeight="1">
      <c r="A470" s="122"/>
      <c r="B470" s="122"/>
      <c r="C470" s="122"/>
      <c r="D470" s="123"/>
      <c r="E470" s="123"/>
      <c r="F470" s="122"/>
      <c r="G470" s="122"/>
      <c r="H470" s="124"/>
      <c r="I470" s="122"/>
      <c r="J470" s="122"/>
      <c r="K470" s="122"/>
      <c r="L470" s="125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6"/>
      <c r="AE470" s="122"/>
      <c r="AF470" s="126"/>
      <c r="AG470" s="122"/>
      <c r="AH470" s="126"/>
      <c r="AI470" s="122"/>
      <c r="AJ470" s="32"/>
      <c r="AK470" s="122"/>
      <c r="AL470" s="32"/>
      <c r="AM470" s="122"/>
      <c r="AN470" s="122"/>
      <c r="AO470" s="12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</row>
    <row r="471" spans="1:52" ht="15.75" customHeight="1">
      <c r="A471" s="122"/>
      <c r="B471" s="122"/>
      <c r="C471" s="122"/>
      <c r="D471" s="123"/>
      <c r="E471" s="123"/>
      <c r="F471" s="122"/>
      <c r="G471" s="122"/>
      <c r="H471" s="124"/>
      <c r="I471" s="122"/>
      <c r="J471" s="122"/>
      <c r="K471" s="122"/>
      <c r="L471" s="125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6"/>
      <c r="AE471" s="122"/>
      <c r="AF471" s="126"/>
      <c r="AG471" s="122"/>
      <c r="AH471" s="126"/>
      <c r="AI471" s="122"/>
      <c r="AJ471" s="32"/>
      <c r="AK471" s="122"/>
      <c r="AL471" s="32"/>
      <c r="AM471" s="122"/>
      <c r="AN471" s="122"/>
      <c r="AO471" s="12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</row>
    <row r="472" spans="1:52" ht="15.75" customHeight="1">
      <c r="A472" s="122"/>
      <c r="B472" s="122"/>
      <c r="C472" s="122"/>
      <c r="D472" s="123"/>
      <c r="E472" s="123"/>
      <c r="F472" s="122"/>
      <c r="G472" s="122"/>
      <c r="H472" s="124"/>
      <c r="I472" s="122"/>
      <c r="J472" s="122"/>
      <c r="K472" s="122"/>
      <c r="L472" s="125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6"/>
      <c r="AE472" s="122"/>
      <c r="AF472" s="126"/>
      <c r="AG472" s="122"/>
      <c r="AH472" s="126"/>
      <c r="AI472" s="122"/>
      <c r="AJ472" s="32"/>
      <c r="AK472" s="122"/>
      <c r="AL472" s="32"/>
      <c r="AM472" s="122"/>
      <c r="AN472" s="122"/>
      <c r="AO472" s="12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</row>
    <row r="473" spans="1:52" ht="15.75" customHeight="1">
      <c r="A473" s="122"/>
      <c r="B473" s="122"/>
      <c r="C473" s="122"/>
      <c r="D473" s="123"/>
      <c r="E473" s="123"/>
      <c r="F473" s="122"/>
      <c r="G473" s="122"/>
      <c r="H473" s="124"/>
      <c r="I473" s="122"/>
      <c r="J473" s="122"/>
      <c r="K473" s="122"/>
      <c r="L473" s="125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6"/>
      <c r="AE473" s="122"/>
      <c r="AF473" s="126"/>
      <c r="AG473" s="122"/>
      <c r="AH473" s="126"/>
      <c r="AI473" s="122"/>
      <c r="AJ473" s="32"/>
      <c r="AK473" s="122"/>
      <c r="AL473" s="32"/>
      <c r="AM473" s="122"/>
      <c r="AN473" s="122"/>
      <c r="AO473" s="12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</row>
    <row r="474" spans="1:52" ht="15.75" customHeight="1">
      <c r="A474" s="122"/>
      <c r="B474" s="122"/>
      <c r="C474" s="122"/>
      <c r="D474" s="123"/>
      <c r="E474" s="123"/>
      <c r="F474" s="122"/>
      <c r="G474" s="122"/>
      <c r="H474" s="124"/>
      <c r="I474" s="122"/>
      <c r="J474" s="122"/>
      <c r="K474" s="122"/>
      <c r="L474" s="125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6"/>
      <c r="AE474" s="122"/>
      <c r="AF474" s="126"/>
      <c r="AG474" s="122"/>
      <c r="AH474" s="126"/>
      <c r="AI474" s="122"/>
      <c r="AJ474" s="32"/>
      <c r="AK474" s="122"/>
      <c r="AL474" s="32"/>
      <c r="AM474" s="122"/>
      <c r="AN474" s="122"/>
      <c r="AO474" s="12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</row>
    <row r="475" spans="1:52" ht="15.75" customHeight="1">
      <c r="A475" s="122"/>
      <c r="B475" s="122"/>
      <c r="C475" s="122"/>
      <c r="D475" s="123"/>
      <c r="E475" s="123"/>
      <c r="F475" s="122"/>
      <c r="G475" s="122"/>
      <c r="H475" s="124"/>
      <c r="I475" s="122"/>
      <c r="J475" s="122"/>
      <c r="K475" s="122"/>
      <c r="L475" s="125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6"/>
      <c r="AE475" s="122"/>
      <c r="AF475" s="126"/>
      <c r="AG475" s="122"/>
      <c r="AH475" s="126"/>
      <c r="AI475" s="122"/>
      <c r="AJ475" s="32"/>
      <c r="AK475" s="122"/>
      <c r="AL475" s="32"/>
      <c r="AM475" s="122"/>
      <c r="AN475" s="122"/>
      <c r="AO475" s="12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</row>
    <row r="476" spans="1:52" ht="15.75" customHeight="1">
      <c r="A476" s="122"/>
      <c r="B476" s="122"/>
      <c r="C476" s="122"/>
      <c r="D476" s="123"/>
      <c r="E476" s="123"/>
      <c r="F476" s="122"/>
      <c r="G476" s="122"/>
      <c r="H476" s="124"/>
      <c r="I476" s="122"/>
      <c r="J476" s="122"/>
      <c r="K476" s="122"/>
      <c r="L476" s="125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6"/>
      <c r="AE476" s="122"/>
      <c r="AF476" s="126"/>
      <c r="AG476" s="122"/>
      <c r="AH476" s="126"/>
      <c r="AI476" s="122"/>
      <c r="AJ476" s="32"/>
      <c r="AK476" s="122"/>
      <c r="AL476" s="32"/>
      <c r="AM476" s="122"/>
      <c r="AN476" s="122"/>
      <c r="AO476" s="12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</row>
    <row r="477" spans="1:52" ht="15.75" customHeight="1">
      <c r="A477" s="122"/>
      <c r="B477" s="122"/>
      <c r="C477" s="122"/>
      <c r="D477" s="123"/>
      <c r="E477" s="123"/>
      <c r="F477" s="122"/>
      <c r="G477" s="122"/>
      <c r="H477" s="124"/>
      <c r="I477" s="122"/>
      <c r="J477" s="122"/>
      <c r="K477" s="122"/>
      <c r="L477" s="125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6"/>
      <c r="AE477" s="122"/>
      <c r="AF477" s="126"/>
      <c r="AG477" s="122"/>
      <c r="AH477" s="126"/>
      <c r="AI477" s="122"/>
      <c r="AJ477" s="32"/>
      <c r="AK477" s="122"/>
      <c r="AL477" s="32"/>
      <c r="AM477" s="122"/>
      <c r="AN477" s="122"/>
      <c r="AO477" s="12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</row>
    <row r="478" spans="1:52" ht="15.75" customHeight="1">
      <c r="A478" s="122"/>
      <c r="B478" s="122"/>
      <c r="C478" s="122"/>
      <c r="D478" s="123"/>
      <c r="E478" s="123"/>
      <c r="F478" s="122"/>
      <c r="G478" s="122"/>
      <c r="H478" s="124"/>
      <c r="I478" s="122"/>
      <c r="J478" s="122"/>
      <c r="K478" s="122"/>
      <c r="L478" s="125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6"/>
      <c r="AE478" s="122"/>
      <c r="AF478" s="126"/>
      <c r="AG478" s="122"/>
      <c r="AH478" s="126"/>
      <c r="AI478" s="122"/>
      <c r="AJ478" s="32"/>
      <c r="AK478" s="122"/>
      <c r="AL478" s="32"/>
      <c r="AM478" s="122"/>
      <c r="AN478" s="122"/>
      <c r="AO478" s="12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</row>
    <row r="479" spans="1:52" ht="15.75" customHeight="1">
      <c r="A479" s="122"/>
      <c r="B479" s="122"/>
      <c r="C479" s="122"/>
      <c r="D479" s="123"/>
      <c r="E479" s="123"/>
      <c r="F479" s="122"/>
      <c r="G479" s="122"/>
      <c r="H479" s="124"/>
      <c r="I479" s="122"/>
      <c r="J479" s="122"/>
      <c r="K479" s="122"/>
      <c r="L479" s="125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6"/>
      <c r="AE479" s="122"/>
      <c r="AF479" s="126"/>
      <c r="AG479" s="122"/>
      <c r="AH479" s="126"/>
      <c r="AI479" s="122"/>
      <c r="AJ479" s="32"/>
      <c r="AK479" s="122"/>
      <c r="AL479" s="32"/>
      <c r="AM479" s="122"/>
      <c r="AN479" s="122"/>
      <c r="AO479" s="12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</row>
    <row r="480" spans="1:52" ht="15.75" customHeight="1">
      <c r="A480" s="122"/>
      <c r="B480" s="122"/>
      <c r="C480" s="122"/>
      <c r="D480" s="123"/>
      <c r="E480" s="123"/>
      <c r="F480" s="122"/>
      <c r="G480" s="122"/>
      <c r="H480" s="124"/>
      <c r="I480" s="122"/>
      <c r="J480" s="122"/>
      <c r="K480" s="122"/>
      <c r="L480" s="125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6"/>
      <c r="AE480" s="122"/>
      <c r="AF480" s="126"/>
      <c r="AG480" s="122"/>
      <c r="AH480" s="126"/>
      <c r="AI480" s="122"/>
      <c r="AJ480" s="32"/>
      <c r="AK480" s="122"/>
      <c r="AL480" s="32"/>
      <c r="AM480" s="122"/>
      <c r="AN480" s="122"/>
      <c r="AO480" s="12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</row>
    <row r="481" spans="1:52" ht="15.75" customHeight="1">
      <c r="A481" s="122"/>
      <c r="B481" s="122"/>
      <c r="C481" s="122"/>
      <c r="D481" s="123"/>
      <c r="E481" s="123"/>
      <c r="F481" s="122"/>
      <c r="G481" s="122"/>
      <c r="H481" s="124"/>
      <c r="I481" s="122"/>
      <c r="J481" s="122"/>
      <c r="K481" s="122"/>
      <c r="L481" s="125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6"/>
      <c r="AE481" s="122"/>
      <c r="AF481" s="126"/>
      <c r="AG481" s="122"/>
      <c r="AH481" s="126"/>
      <c r="AI481" s="122"/>
      <c r="AJ481" s="32"/>
      <c r="AK481" s="122"/>
      <c r="AL481" s="32"/>
      <c r="AM481" s="122"/>
      <c r="AN481" s="122"/>
      <c r="AO481" s="12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</row>
    <row r="482" spans="1:52" ht="15.75" customHeight="1">
      <c r="A482" s="122"/>
      <c r="B482" s="122"/>
      <c r="C482" s="122"/>
      <c r="D482" s="123"/>
      <c r="E482" s="123"/>
      <c r="F482" s="122"/>
      <c r="G482" s="122"/>
      <c r="H482" s="124"/>
      <c r="I482" s="122"/>
      <c r="J482" s="122"/>
      <c r="K482" s="122"/>
      <c r="L482" s="125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6"/>
      <c r="AE482" s="122"/>
      <c r="AF482" s="126"/>
      <c r="AG482" s="122"/>
      <c r="AH482" s="126"/>
      <c r="AI482" s="122"/>
      <c r="AJ482" s="32"/>
      <c r="AK482" s="122"/>
      <c r="AL482" s="32"/>
      <c r="AM482" s="122"/>
      <c r="AN482" s="122"/>
      <c r="AO482" s="12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</row>
    <row r="483" spans="1:52" ht="15.75" customHeight="1">
      <c r="A483" s="122"/>
      <c r="B483" s="122"/>
      <c r="C483" s="122"/>
      <c r="D483" s="123"/>
      <c r="E483" s="123"/>
      <c r="F483" s="122"/>
      <c r="G483" s="122"/>
      <c r="H483" s="124"/>
      <c r="I483" s="122"/>
      <c r="J483" s="122"/>
      <c r="K483" s="122"/>
      <c r="L483" s="125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6"/>
      <c r="AE483" s="122"/>
      <c r="AF483" s="126"/>
      <c r="AG483" s="122"/>
      <c r="AH483" s="126"/>
      <c r="AI483" s="122"/>
      <c r="AJ483" s="32"/>
      <c r="AK483" s="122"/>
      <c r="AL483" s="32"/>
      <c r="AM483" s="122"/>
      <c r="AN483" s="122"/>
      <c r="AO483" s="12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</row>
    <row r="484" spans="1:52" ht="15.75" customHeight="1">
      <c r="A484" s="122"/>
      <c r="B484" s="122"/>
      <c r="C484" s="122"/>
      <c r="D484" s="123"/>
      <c r="E484" s="123"/>
      <c r="F484" s="122"/>
      <c r="G484" s="122"/>
      <c r="H484" s="124"/>
      <c r="I484" s="122"/>
      <c r="J484" s="122"/>
      <c r="K484" s="122"/>
      <c r="L484" s="125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6"/>
      <c r="AE484" s="122"/>
      <c r="AF484" s="126"/>
      <c r="AG484" s="122"/>
      <c r="AH484" s="126"/>
      <c r="AI484" s="122"/>
      <c r="AJ484" s="32"/>
      <c r="AK484" s="122"/>
      <c r="AL484" s="32"/>
      <c r="AM484" s="122"/>
      <c r="AN484" s="122"/>
      <c r="AO484" s="12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</row>
    <row r="485" spans="1:52" ht="15.75" customHeight="1">
      <c r="A485" s="122"/>
      <c r="B485" s="122"/>
      <c r="C485" s="122"/>
      <c r="D485" s="123"/>
      <c r="E485" s="123"/>
      <c r="F485" s="122"/>
      <c r="G485" s="122"/>
      <c r="H485" s="124"/>
      <c r="I485" s="122"/>
      <c r="J485" s="122"/>
      <c r="K485" s="122"/>
      <c r="L485" s="125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6"/>
      <c r="AE485" s="122"/>
      <c r="AF485" s="126"/>
      <c r="AG485" s="122"/>
      <c r="AH485" s="126"/>
      <c r="AI485" s="122"/>
      <c r="AJ485" s="32"/>
      <c r="AK485" s="122"/>
      <c r="AL485" s="32"/>
      <c r="AM485" s="122"/>
      <c r="AN485" s="122"/>
      <c r="AO485" s="12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</row>
    <row r="486" spans="1:52" ht="15.75" customHeight="1">
      <c r="A486" s="122"/>
      <c r="B486" s="122"/>
      <c r="C486" s="122"/>
      <c r="D486" s="123"/>
      <c r="E486" s="123"/>
      <c r="F486" s="122"/>
      <c r="G486" s="122"/>
      <c r="H486" s="124"/>
      <c r="I486" s="122"/>
      <c r="J486" s="122"/>
      <c r="K486" s="122"/>
      <c r="L486" s="125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6"/>
      <c r="AE486" s="122"/>
      <c r="AF486" s="126"/>
      <c r="AG486" s="122"/>
      <c r="AH486" s="126"/>
      <c r="AI486" s="122"/>
      <c r="AJ486" s="32"/>
      <c r="AK486" s="122"/>
      <c r="AL486" s="32"/>
      <c r="AM486" s="122"/>
      <c r="AN486" s="122"/>
      <c r="AO486" s="12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</row>
    <row r="487" spans="1:52" ht="15.75" customHeight="1">
      <c r="A487" s="122"/>
      <c r="B487" s="122"/>
      <c r="C487" s="122"/>
      <c r="D487" s="123"/>
      <c r="E487" s="123"/>
      <c r="F487" s="122"/>
      <c r="G487" s="122"/>
      <c r="H487" s="124"/>
      <c r="I487" s="122"/>
      <c r="J487" s="122"/>
      <c r="K487" s="122"/>
      <c r="L487" s="125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6"/>
      <c r="AE487" s="122"/>
      <c r="AF487" s="126"/>
      <c r="AG487" s="122"/>
      <c r="AH487" s="126"/>
      <c r="AI487" s="122"/>
      <c r="AJ487" s="32"/>
      <c r="AK487" s="122"/>
      <c r="AL487" s="32"/>
      <c r="AM487" s="122"/>
      <c r="AN487" s="122"/>
      <c r="AO487" s="12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</row>
    <row r="488" spans="1:52" ht="15.75" customHeight="1">
      <c r="A488" s="122"/>
      <c r="B488" s="122"/>
      <c r="C488" s="122"/>
      <c r="D488" s="123"/>
      <c r="E488" s="123"/>
      <c r="F488" s="122"/>
      <c r="G488" s="122"/>
      <c r="H488" s="124"/>
      <c r="I488" s="122"/>
      <c r="J488" s="122"/>
      <c r="K488" s="122"/>
      <c r="L488" s="125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6"/>
      <c r="AE488" s="122"/>
      <c r="AF488" s="126"/>
      <c r="AG488" s="122"/>
      <c r="AH488" s="126"/>
      <c r="AI488" s="122"/>
      <c r="AJ488" s="32"/>
      <c r="AK488" s="122"/>
      <c r="AL488" s="32"/>
      <c r="AM488" s="122"/>
      <c r="AN488" s="122"/>
      <c r="AO488" s="12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</row>
    <row r="489" spans="1:52" ht="15.75" customHeight="1">
      <c r="A489" s="122"/>
      <c r="B489" s="122"/>
      <c r="C489" s="122"/>
      <c r="D489" s="123"/>
      <c r="E489" s="123"/>
      <c r="F489" s="122"/>
      <c r="G489" s="122"/>
      <c r="H489" s="124"/>
      <c r="I489" s="122"/>
      <c r="J489" s="122"/>
      <c r="K489" s="122"/>
      <c r="L489" s="125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6"/>
      <c r="AE489" s="122"/>
      <c r="AF489" s="126"/>
      <c r="AG489" s="122"/>
      <c r="AH489" s="126"/>
      <c r="AI489" s="122"/>
      <c r="AJ489" s="32"/>
      <c r="AK489" s="122"/>
      <c r="AL489" s="32"/>
      <c r="AM489" s="122"/>
      <c r="AN489" s="122"/>
      <c r="AO489" s="12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</row>
    <row r="490" spans="1:52" ht="15.75" customHeight="1">
      <c r="A490" s="122"/>
      <c r="B490" s="122"/>
      <c r="C490" s="122"/>
      <c r="D490" s="123"/>
      <c r="E490" s="123"/>
      <c r="F490" s="122"/>
      <c r="G490" s="122"/>
      <c r="H490" s="124"/>
      <c r="I490" s="122"/>
      <c r="J490" s="122"/>
      <c r="K490" s="122"/>
      <c r="L490" s="125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6"/>
      <c r="AE490" s="122"/>
      <c r="AF490" s="126"/>
      <c r="AG490" s="122"/>
      <c r="AH490" s="126"/>
      <c r="AI490" s="122"/>
      <c r="AJ490" s="32"/>
      <c r="AK490" s="122"/>
      <c r="AL490" s="32"/>
      <c r="AM490" s="122"/>
      <c r="AN490" s="122"/>
      <c r="AO490" s="12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</row>
    <row r="491" spans="1:52" ht="15.75" customHeight="1">
      <c r="A491" s="122"/>
      <c r="B491" s="122"/>
      <c r="C491" s="122"/>
      <c r="D491" s="123"/>
      <c r="E491" s="123"/>
      <c r="F491" s="122"/>
      <c r="G491" s="122"/>
      <c r="H491" s="124"/>
      <c r="I491" s="122"/>
      <c r="J491" s="122"/>
      <c r="K491" s="122"/>
      <c r="L491" s="125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6"/>
      <c r="AE491" s="122"/>
      <c r="AF491" s="126"/>
      <c r="AG491" s="122"/>
      <c r="AH491" s="126"/>
      <c r="AI491" s="122"/>
      <c r="AJ491" s="32"/>
      <c r="AK491" s="122"/>
      <c r="AL491" s="32"/>
      <c r="AM491" s="122"/>
      <c r="AN491" s="122"/>
      <c r="AO491" s="12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</row>
    <row r="492" spans="1:52" ht="15.75" customHeight="1">
      <c r="A492" s="122"/>
      <c r="B492" s="122"/>
      <c r="C492" s="122"/>
      <c r="D492" s="123"/>
      <c r="E492" s="123"/>
      <c r="F492" s="122"/>
      <c r="G492" s="122"/>
      <c r="H492" s="124"/>
      <c r="I492" s="122"/>
      <c r="J492" s="122"/>
      <c r="K492" s="122"/>
      <c r="L492" s="125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6"/>
      <c r="AE492" s="122"/>
      <c r="AF492" s="126"/>
      <c r="AG492" s="122"/>
      <c r="AH492" s="126"/>
      <c r="AI492" s="122"/>
      <c r="AJ492" s="32"/>
      <c r="AK492" s="122"/>
      <c r="AL492" s="32"/>
      <c r="AM492" s="122"/>
      <c r="AN492" s="122"/>
      <c r="AO492" s="12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</row>
    <row r="493" spans="1:52" ht="15.75" customHeight="1">
      <c r="A493" s="122"/>
      <c r="B493" s="122"/>
      <c r="C493" s="122"/>
      <c r="D493" s="123"/>
      <c r="E493" s="123"/>
      <c r="F493" s="122"/>
      <c r="G493" s="122"/>
      <c r="H493" s="124"/>
      <c r="I493" s="122"/>
      <c r="J493" s="122"/>
      <c r="K493" s="122"/>
      <c r="L493" s="125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6"/>
      <c r="AE493" s="122"/>
      <c r="AF493" s="126"/>
      <c r="AG493" s="122"/>
      <c r="AH493" s="126"/>
      <c r="AI493" s="122"/>
      <c r="AJ493" s="32"/>
      <c r="AK493" s="122"/>
      <c r="AL493" s="32"/>
      <c r="AM493" s="122"/>
      <c r="AN493" s="122"/>
      <c r="AO493" s="12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</row>
    <row r="494" spans="1:52" ht="15.75" customHeight="1">
      <c r="A494" s="122"/>
      <c r="B494" s="122"/>
      <c r="C494" s="122"/>
      <c r="D494" s="123"/>
      <c r="E494" s="123"/>
      <c r="F494" s="122"/>
      <c r="G494" s="122"/>
      <c r="H494" s="124"/>
      <c r="I494" s="122"/>
      <c r="J494" s="122"/>
      <c r="K494" s="122"/>
      <c r="L494" s="125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6"/>
      <c r="AE494" s="122"/>
      <c r="AF494" s="126"/>
      <c r="AG494" s="122"/>
      <c r="AH494" s="126"/>
      <c r="AI494" s="122"/>
      <c r="AJ494" s="32"/>
      <c r="AK494" s="122"/>
      <c r="AL494" s="32"/>
      <c r="AM494" s="122"/>
      <c r="AN494" s="122"/>
      <c r="AO494" s="12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</row>
    <row r="495" spans="1:52" ht="15.75" customHeight="1">
      <c r="A495" s="122"/>
      <c r="B495" s="122"/>
      <c r="C495" s="122"/>
      <c r="D495" s="123"/>
      <c r="E495" s="123"/>
      <c r="F495" s="122"/>
      <c r="G495" s="122"/>
      <c r="H495" s="124"/>
      <c r="I495" s="122"/>
      <c r="J495" s="122"/>
      <c r="K495" s="122"/>
      <c r="L495" s="125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6"/>
      <c r="AE495" s="122"/>
      <c r="AF495" s="126"/>
      <c r="AG495" s="122"/>
      <c r="AH495" s="126"/>
      <c r="AI495" s="122"/>
      <c r="AJ495" s="32"/>
      <c r="AK495" s="122"/>
      <c r="AL495" s="32"/>
      <c r="AM495" s="122"/>
      <c r="AN495" s="122"/>
      <c r="AO495" s="12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</row>
    <row r="496" spans="1:52" ht="15.75" customHeight="1">
      <c r="A496" s="122"/>
      <c r="B496" s="122"/>
      <c r="C496" s="122"/>
      <c r="D496" s="123"/>
      <c r="E496" s="123"/>
      <c r="F496" s="122"/>
      <c r="G496" s="122"/>
      <c r="H496" s="124"/>
      <c r="I496" s="122"/>
      <c r="J496" s="122"/>
      <c r="K496" s="122"/>
      <c r="L496" s="125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6"/>
      <c r="AE496" s="122"/>
      <c r="AF496" s="126"/>
      <c r="AG496" s="122"/>
      <c r="AH496" s="126"/>
      <c r="AI496" s="122"/>
      <c r="AJ496" s="32"/>
      <c r="AK496" s="122"/>
      <c r="AL496" s="32"/>
      <c r="AM496" s="122"/>
      <c r="AN496" s="122"/>
      <c r="AO496" s="12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</row>
    <row r="497" spans="1:52" ht="15.75" customHeight="1">
      <c r="A497" s="122"/>
      <c r="B497" s="122"/>
      <c r="C497" s="122"/>
      <c r="D497" s="123"/>
      <c r="E497" s="123"/>
      <c r="F497" s="122"/>
      <c r="G497" s="122"/>
      <c r="H497" s="124"/>
      <c r="I497" s="122"/>
      <c r="J497" s="122"/>
      <c r="K497" s="122"/>
      <c r="L497" s="125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6"/>
      <c r="AE497" s="122"/>
      <c r="AF497" s="126"/>
      <c r="AG497" s="122"/>
      <c r="AH497" s="126"/>
      <c r="AI497" s="122"/>
      <c r="AJ497" s="32"/>
      <c r="AK497" s="122"/>
      <c r="AL497" s="32"/>
      <c r="AM497" s="122"/>
      <c r="AN497" s="122"/>
      <c r="AO497" s="12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</row>
    <row r="498" spans="1:52" ht="15.75" customHeight="1">
      <c r="A498" s="122"/>
      <c r="B498" s="122"/>
      <c r="C498" s="122"/>
      <c r="D498" s="123"/>
      <c r="E498" s="123"/>
      <c r="F498" s="122"/>
      <c r="G498" s="122"/>
      <c r="H498" s="124"/>
      <c r="I498" s="122"/>
      <c r="J498" s="122"/>
      <c r="K498" s="122"/>
      <c r="L498" s="125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6"/>
      <c r="AE498" s="122"/>
      <c r="AF498" s="126"/>
      <c r="AG498" s="122"/>
      <c r="AH498" s="126"/>
      <c r="AI498" s="122"/>
      <c r="AJ498" s="32"/>
      <c r="AK498" s="122"/>
      <c r="AL498" s="32"/>
      <c r="AM498" s="122"/>
      <c r="AN498" s="122"/>
      <c r="AO498" s="12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</row>
    <row r="499" spans="1:52" ht="15.75" customHeight="1">
      <c r="A499" s="122"/>
      <c r="B499" s="122"/>
      <c r="C499" s="122"/>
      <c r="D499" s="123"/>
      <c r="E499" s="123"/>
      <c r="F499" s="122"/>
      <c r="G499" s="122"/>
      <c r="H499" s="124"/>
      <c r="I499" s="122"/>
      <c r="J499" s="122"/>
      <c r="K499" s="122"/>
      <c r="L499" s="125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6"/>
      <c r="AE499" s="122"/>
      <c r="AF499" s="126"/>
      <c r="AG499" s="122"/>
      <c r="AH499" s="126"/>
      <c r="AI499" s="122"/>
      <c r="AJ499" s="32"/>
      <c r="AK499" s="122"/>
      <c r="AL499" s="32"/>
      <c r="AM499" s="122"/>
      <c r="AN499" s="122"/>
      <c r="AO499" s="12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</row>
    <row r="500" spans="1:52" ht="15.75" customHeight="1">
      <c r="A500" s="122"/>
      <c r="B500" s="122"/>
      <c r="C500" s="122"/>
      <c r="D500" s="123"/>
      <c r="E500" s="123"/>
      <c r="F500" s="122"/>
      <c r="G500" s="122"/>
      <c r="H500" s="124"/>
      <c r="I500" s="122"/>
      <c r="J500" s="122"/>
      <c r="K500" s="122"/>
      <c r="L500" s="125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6"/>
      <c r="AE500" s="122"/>
      <c r="AF500" s="126"/>
      <c r="AG500" s="122"/>
      <c r="AH500" s="126"/>
      <c r="AI500" s="122"/>
      <c r="AJ500" s="32"/>
      <c r="AK500" s="122"/>
      <c r="AL500" s="32"/>
      <c r="AM500" s="122"/>
      <c r="AN500" s="122"/>
      <c r="AO500" s="12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</row>
    <row r="501" spans="1:52" ht="15.75" customHeight="1">
      <c r="A501" s="122"/>
      <c r="B501" s="122"/>
      <c r="C501" s="122"/>
      <c r="D501" s="123"/>
      <c r="E501" s="123"/>
      <c r="F501" s="122"/>
      <c r="G501" s="122"/>
      <c r="H501" s="124"/>
      <c r="I501" s="122"/>
      <c r="J501" s="122"/>
      <c r="K501" s="122"/>
      <c r="L501" s="125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6"/>
      <c r="AE501" s="122"/>
      <c r="AF501" s="126"/>
      <c r="AG501" s="122"/>
      <c r="AH501" s="126"/>
      <c r="AI501" s="122"/>
      <c r="AJ501" s="32"/>
      <c r="AK501" s="122"/>
      <c r="AL501" s="32"/>
      <c r="AM501" s="122"/>
      <c r="AN501" s="122"/>
      <c r="AO501" s="12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</row>
    <row r="502" spans="1:52" ht="15.75" customHeight="1">
      <c r="A502" s="122"/>
      <c r="B502" s="122"/>
      <c r="C502" s="122"/>
      <c r="D502" s="123"/>
      <c r="E502" s="123"/>
      <c r="F502" s="122"/>
      <c r="G502" s="122"/>
      <c r="H502" s="124"/>
      <c r="I502" s="122"/>
      <c r="J502" s="122"/>
      <c r="K502" s="122"/>
      <c r="L502" s="125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6"/>
      <c r="AE502" s="122"/>
      <c r="AF502" s="126"/>
      <c r="AG502" s="122"/>
      <c r="AH502" s="126"/>
      <c r="AI502" s="122"/>
      <c r="AJ502" s="32"/>
      <c r="AK502" s="122"/>
      <c r="AL502" s="32"/>
      <c r="AM502" s="122"/>
      <c r="AN502" s="122"/>
      <c r="AO502" s="12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</row>
    <row r="503" spans="1:52" ht="15.75" customHeight="1">
      <c r="A503" s="122"/>
      <c r="B503" s="122"/>
      <c r="C503" s="122"/>
      <c r="D503" s="123"/>
      <c r="E503" s="123"/>
      <c r="F503" s="122"/>
      <c r="G503" s="122"/>
      <c r="H503" s="124"/>
      <c r="I503" s="122"/>
      <c r="J503" s="122"/>
      <c r="K503" s="122"/>
      <c r="L503" s="125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6"/>
      <c r="AE503" s="122"/>
      <c r="AF503" s="126"/>
      <c r="AG503" s="122"/>
      <c r="AH503" s="126"/>
      <c r="AI503" s="122"/>
      <c r="AJ503" s="32"/>
      <c r="AK503" s="122"/>
      <c r="AL503" s="32"/>
      <c r="AM503" s="122"/>
      <c r="AN503" s="122"/>
      <c r="AO503" s="12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</row>
    <row r="504" spans="1:52" ht="15.75" customHeight="1">
      <c r="A504" s="122"/>
      <c r="B504" s="122"/>
      <c r="C504" s="122"/>
      <c r="D504" s="123"/>
      <c r="E504" s="123"/>
      <c r="F504" s="122"/>
      <c r="G504" s="122"/>
      <c r="H504" s="124"/>
      <c r="I504" s="122"/>
      <c r="J504" s="122"/>
      <c r="K504" s="122"/>
      <c r="L504" s="125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6"/>
      <c r="AE504" s="122"/>
      <c r="AF504" s="126"/>
      <c r="AG504" s="122"/>
      <c r="AH504" s="126"/>
      <c r="AI504" s="122"/>
      <c r="AJ504" s="32"/>
      <c r="AK504" s="122"/>
      <c r="AL504" s="32"/>
      <c r="AM504" s="122"/>
      <c r="AN504" s="122"/>
      <c r="AO504" s="12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</row>
    <row r="505" spans="1:52" ht="15.75" customHeight="1">
      <c r="A505" s="122"/>
      <c r="B505" s="122"/>
      <c r="C505" s="122"/>
      <c r="D505" s="123"/>
      <c r="E505" s="123"/>
      <c r="F505" s="122"/>
      <c r="G505" s="122"/>
      <c r="H505" s="124"/>
      <c r="I505" s="122"/>
      <c r="J505" s="122"/>
      <c r="K505" s="122"/>
      <c r="L505" s="125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6"/>
      <c r="AE505" s="122"/>
      <c r="AF505" s="126"/>
      <c r="AG505" s="122"/>
      <c r="AH505" s="126"/>
      <c r="AI505" s="122"/>
      <c r="AJ505" s="32"/>
      <c r="AK505" s="122"/>
      <c r="AL505" s="32"/>
      <c r="AM505" s="122"/>
      <c r="AN505" s="122"/>
      <c r="AO505" s="12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</row>
    <row r="506" spans="1:52" ht="15.75" customHeight="1">
      <c r="A506" s="122"/>
      <c r="B506" s="122"/>
      <c r="C506" s="122"/>
      <c r="D506" s="123"/>
      <c r="E506" s="123"/>
      <c r="F506" s="122"/>
      <c r="G506" s="122"/>
      <c r="H506" s="124"/>
      <c r="I506" s="122"/>
      <c r="J506" s="122"/>
      <c r="K506" s="122"/>
      <c r="L506" s="125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6"/>
      <c r="AE506" s="122"/>
      <c r="AF506" s="126"/>
      <c r="AG506" s="122"/>
      <c r="AH506" s="126"/>
      <c r="AI506" s="122"/>
      <c r="AJ506" s="32"/>
      <c r="AK506" s="122"/>
      <c r="AL506" s="32"/>
      <c r="AM506" s="122"/>
      <c r="AN506" s="122"/>
      <c r="AO506" s="12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</row>
    <row r="507" spans="1:52" ht="15.75" customHeight="1">
      <c r="A507" s="122"/>
      <c r="B507" s="122"/>
      <c r="C507" s="122"/>
      <c r="D507" s="123"/>
      <c r="E507" s="123"/>
      <c r="F507" s="122"/>
      <c r="G507" s="122"/>
      <c r="H507" s="124"/>
      <c r="I507" s="122"/>
      <c r="J507" s="122"/>
      <c r="K507" s="122"/>
      <c r="L507" s="125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6"/>
      <c r="AE507" s="122"/>
      <c r="AF507" s="126"/>
      <c r="AG507" s="122"/>
      <c r="AH507" s="126"/>
      <c r="AI507" s="122"/>
      <c r="AJ507" s="32"/>
      <c r="AK507" s="122"/>
      <c r="AL507" s="32"/>
      <c r="AM507" s="122"/>
      <c r="AN507" s="122"/>
      <c r="AO507" s="12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</row>
    <row r="508" spans="1:52" ht="15.75" customHeight="1">
      <c r="A508" s="122"/>
      <c r="B508" s="122"/>
      <c r="C508" s="122"/>
      <c r="D508" s="123"/>
      <c r="E508" s="123"/>
      <c r="F508" s="122"/>
      <c r="G508" s="122"/>
      <c r="H508" s="124"/>
      <c r="I508" s="122"/>
      <c r="J508" s="122"/>
      <c r="K508" s="122"/>
      <c r="L508" s="125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6"/>
      <c r="AE508" s="122"/>
      <c r="AF508" s="126"/>
      <c r="AG508" s="122"/>
      <c r="AH508" s="126"/>
      <c r="AI508" s="122"/>
      <c r="AJ508" s="32"/>
      <c r="AK508" s="122"/>
      <c r="AL508" s="32"/>
      <c r="AM508" s="122"/>
      <c r="AN508" s="122"/>
      <c r="AO508" s="12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</row>
    <row r="509" spans="1:52" ht="15.75" customHeight="1">
      <c r="A509" s="122"/>
      <c r="B509" s="122"/>
      <c r="C509" s="122"/>
      <c r="D509" s="123"/>
      <c r="E509" s="123"/>
      <c r="F509" s="122"/>
      <c r="G509" s="122"/>
      <c r="H509" s="124"/>
      <c r="I509" s="122"/>
      <c r="J509" s="122"/>
      <c r="K509" s="122"/>
      <c r="L509" s="125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6"/>
      <c r="AE509" s="122"/>
      <c r="AF509" s="126"/>
      <c r="AG509" s="122"/>
      <c r="AH509" s="126"/>
      <c r="AI509" s="122"/>
      <c r="AJ509" s="32"/>
      <c r="AK509" s="122"/>
      <c r="AL509" s="32"/>
      <c r="AM509" s="122"/>
      <c r="AN509" s="122"/>
      <c r="AO509" s="12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</row>
    <row r="510" spans="1:52" ht="15.75" customHeight="1">
      <c r="A510" s="122"/>
      <c r="B510" s="122"/>
      <c r="C510" s="122"/>
      <c r="D510" s="123"/>
      <c r="E510" s="123"/>
      <c r="F510" s="122"/>
      <c r="G510" s="122"/>
      <c r="H510" s="124"/>
      <c r="I510" s="122"/>
      <c r="J510" s="122"/>
      <c r="K510" s="122"/>
      <c r="L510" s="125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6"/>
      <c r="AE510" s="122"/>
      <c r="AF510" s="126"/>
      <c r="AG510" s="122"/>
      <c r="AH510" s="126"/>
      <c r="AI510" s="122"/>
      <c r="AJ510" s="32"/>
      <c r="AK510" s="122"/>
      <c r="AL510" s="32"/>
      <c r="AM510" s="122"/>
      <c r="AN510" s="122"/>
      <c r="AO510" s="12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</row>
    <row r="511" spans="1:52" ht="15.75" customHeight="1">
      <c r="A511" s="122"/>
      <c r="B511" s="122"/>
      <c r="C511" s="122"/>
      <c r="D511" s="123"/>
      <c r="E511" s="123"/>
      <c r="F511" s="122"/>
      <c r="G511" s="122"/>
      <c r="H511" s="124"/>
      <c r="I511" s="122"/>
      <c r="J511" s="122"/>
      <c r="K511" s="122"/>
      <c r="L511" s="125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6"/>
      <c r="AE511" s="122"/>
      <c r="AF511" s="126"/>
      <c r="AG511" s="122"/>
      <c r="AH511" s="126"/>
      <c r="AI511" s="122"/>
      <c r="AJ511" s="32"/>
      <c r="AK511" s="122"/>
      <c r="AL511" s="32"/>
      <c r="AM511" s="122"/>
      <c r="AN511" s="122"/>
      <c r="AO511" s="12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</row>
    <row r="512" spans="1:52" ht="15.75" customHeight="1">
      <c r="A512" s="122"/>
      <c r="B512" s="122"/>
      <c r="C512" s="122"/>
      <c r="D512" s="123"/>
      <c r="E512" s="123"/>
      <c r="F512" s="122"/>
      <c r="G512" s="122"/>
      <c r="H512" s="124"/>
      <c r="I512" s="122"/>
      <c r="J512" s="122"/>
      <c r="K512" s="122"/>
      <c r="L512" s="125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6"/>
      <c r="AE512" s="122"/>
      <c r="AF512" s="126"/>
      <c r="AG512" s="122"/>
      <c r="AH512" s="126"/>
      <c r="AI512" s="122"/>
      <c r="AJ512" s="32"/>
      <c r="AK512" s="122"/>
      <c r="AL512" s="32"/>
      <c r="AM512" s="122"/>
      <c r="AN512" s="122"/>
      <c r="AO512" s="12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</row>
    <row r="513" spans="1:52" ht="15.75" customHeight="1">
      <c r="A513" s="122"/>
      <c r="B513" s="122"/>
      <c r="C513" s="122"/>
      <c r="D513" s="123"/>
      <c r="E513" s="123"/>
      <c r="F513" s="122"/>
      <c r="G513" s="122"/>
      <c r="H513" s="124"/>
      <c r="I513" s="122"/>
      <c r="J513" s="122"/>
      <c r="K513" s="122"/>
      <c r="L513" s="125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6"/>
      <c r="AE513" s="122"/>
      <c r="AF513" s="126"/>
      <c r="AG513" s="122"/>
      <c r="AH513" s="126"/>
      <c r="AI513" s="122"/>
      <c r="AJ513" s="32"/>
      <c r="AK513" s="122"/>
      <c r="AL513" s="32"/>
      <c r="AM513" s="122"/>
      <c r="AN513" s="122"/>
      <c r="AO513" s="12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</row>
    <row r="514" spans="1:52" ht="15.75" customHeight="1">
      <c r="A514" s="122"/>
      <c r="B514" s="122"/>
      <c r="C514" s="122"/>
      <c r="D514" s="123"/>
      <c r="E514" s="123"/>
      <c r="F514" s="122"/>
      <c r="G514" s="122"/>
      <c r="H514" s="124"/>
      <c r="I514" s="122"/>
      <c r="J514" s="122"/>
      <c r="K514" s="122"/>
      <c r="L514" s="125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6"/>
      <c r="AE514" s="122"/>
      <c r="AF514" s="126"/>
      <c r="AG514" s="122"/>
      <c r="AH514" s="126"/>
      <c r="AI514" s="122"/>
      <c r="AJ514" s="32"/>
      <c r="AK514" s="122"/>
      <c r="AL514" s="32"/>
      <c r="AM514" s="122"/>
      <c r="AN514" s="122"/>
      <c r="AO514" s="12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</row>
    <row r="515" spans="1:52" ht="15.75" customHeight="1">
      <c r="A515" s="122"/>
      <c r="B515" s="122"/>
      <c r="C515" s="122"/>
      <c r="D515" s="123"/>
      <c r="E515" s="123"/>
      <c r="F515" s="122"/>
      <c r="G515" s="122"/>
      <c r="H515" s="124"/>
      <c r="I515" s="122"/>
      <c r="J515" s="122"/>
      <c r="K515" s="122"/>
      <c r="L515" s="125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6"/>
      <c r="AE515" s="122"/>
      <c r="AF515" s="126"/>
      <c r="AG515" s="122"/>
      <c r="AH515" s="126"/>
      <c r="AI515" s="122"/>
      <c r="AJ515" s="32"/>
      <c r="AK515" s="122"/>
      <c r="AL515" s="32"/>
      <c r="AM515" s="122"/>
      <c r="AN515" s="122"/>
      <c r="AO515" s="12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</row>
    <row r="516" spans="1:52" ht="15.75" customHeight="1">
      <c r="A516" s="122"/>
      <c r="B516" s="122"/>
      <c r="C516" s="122"/>
      <c r="D516" s="123"/>
      <c r="E516" s="123"/>
      <c r="F516" s="122"/>
      <c r="G516" s="122"/>
      <c r="H516" s="124"/>
      <c r="I516" s="122"/>
      <c r="J516" s="122"/>
      <c r="K516" s="122"/>
      <c r="L516" s="125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6"/>
      <c r="AE516" s="122"/>
      <c r="AF516" s="126"/>
      <c r="AG516" s="122"/>
      <c r="AH516" s="126"/>
      <c r="AI516" s="122"/>
      <c r="AJ516" s="32"/>
      <c r="AK516" s="122"/>
      <c r="AL516" s="32"/>
      <c r="AM516" s="122"/>
      <c r="AN516" s="122"/>
      <c r="AO516" s="12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</row>
    <row r="517" spans="1:52" ht="15.75" customHeight="1">
      <c r="A517" s="122"/>
      <c r="B517" s="122"/>
      <c r="C517" s="122"/>
      <c r="D517" s="123"/>
      <c r="E517" s="123"/>
      <c r="F517" s="122"/>
      <c r="G517" s="122"/>
      <c r="H517" s="124"/>
      <c r="I517" s="122"/>
      <c r="J517" s="122"/>
      <c r="K517" s="122"/>
      <c r="L517" s="125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6"/>
      <c r="AE517" s="122"/>
      <c r="AF517" s="126"/>
      <c r="AG517" s="122"/>
      <c r="AH517" s="126"/>
      <c r="AI517" s="122"/>
      <c r="AJ517" s="32"/>
      <c r="AK517" s="122"/>
      <c r="AL517" s="32"/>
      <c r="AM517" s="122"/>
      <c r="AN517" s="122"/>
      <c r="AO517" s="12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</row>
    <row r="518" spans="1:52" ht="15.75" customHeight="1">
      <c r="A518" s="122"/>
      <c r="B518" s="122"/>
      <c r="C518" s="122"/>
      <c r="D518" s="123"/>
      <c r="E518" s="123"/>
      <c r="F518" s="122"/>
      <c r="G518" s="122"/>
      <c r="H518" s="124"/>
      <c r="I518" s="122"/>
      <c r="J518" s="122"/>
      <c r="K518" s="122"/>
      <c r="L518" s="125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6"/>
      <c r="AE518" s="122"/>
      <c r="AF518" s="126"/>
      <c r="AG518" s="122"/>
      <c r="AH518" s="126"/>
      <c r="AI518" s="122"/>
      <c r="AJ518" s="32"/>
      <c r="AK518" s="122"/>
      <c r="AL518" s="32"/>
      <c r="AM518" s="122"/>
      <c r="AN518" s="122"/>
      <c r="AO518" s="12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</row>
    <row r="519" spans="1:52" ht="15.75" customHeight="1">
      <c r="A519" s="122"/>
      <c r="B519" s="122"/>
      <c r="C519" s="122"/>
      <c r="D519" s="123"/>
      <c r="E519" s="123"/>
      <c r="F519" s="122"/>
      <c r="G519" s="122"/>
      <c r="H519" s="124"/>
      <c r="I519" s="122"/>
      <c r="J519" s="122"/>
      <c r="K519" s="122"/>
      <c r="L519" s="125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6"/>
      <c r="AE519" s="122"/>
      <c r="AF519" s="126"/>
      <c r="AG519" s="122"/>
      <c r="AH519" s="126"/>
      <c r="AI519" s="122"/>
      <c r="AJ519" s="32"/>
      <c r="AK519" s="122"/>
      <c r="AL519" s="32"/>
      <c r="AM519" s="122"/>
      <c r="AN519" s="122"/>
      <c r="AO519" s="12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</row>
    <row r="520" spans="1:52" ht="15.75" customHeight="1">
      <c r="A520" s="122"/>
      <c r="B520" s="122"/>
      <c r="C520" s="122"/>
      <c r="D520" s="123"/>
      <c r="E520" s="123"/>
      <c r="F520" s="122"/>
      <c r="G520" s="122"/>
      <c r="H520" s="124"/>
      <c r="I520" s="122"/>
      <c r="J520" s="122"/>
      <c r="K520" s="122"/>
      <c r="L520" s="125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6"/>
      <c r="AE520" s="122"/>
      <c r="AF520" s="126"/>
      <c r="AG520" s="122"/>
      <c r="AH520" s="126"/>
      <c r="AI520" s="122"/>
      <c r="AJ520" s="32"/>
      <c r="AK520" s="122"/>
      <c r="AL520" s="32"/>
      <c r="AM520" s="122"/>
      <c r="AN520" s="122"/>
      <c r="AO520" s="12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</row>
    <row r="521" spans="1:52" ht="15.75" customHeight="1">
      <c r="A521" s="122"/>
      <c r="B521" s="122"/>
      <c r="C521" s="122"/>
      <c r="D521" s="123"/>
      <c r="E521" s="123"/>
      <c r="F521" s="122"/>
      <c r="G521" s="122"/>
      <c r="H521" s="124"/>
      <c r="I521" s="122"/>
      <c r="J521" s="122"/>
      <c r="K521" s="122"/>
      <c r="L521" s="125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6"/>
      <c r="AE521" s="122"/>
      <c r="AF521" s="126"/>
      <c r="AG521" s="122"/>
      <c r="AH521" s="126"/>
      <c r="AI521" s="122"/>
      <c r="AJ521" s="32"/>
      <c r="AK521" s="122"/>
      <c r="AL521" s="32"/>
      <c r="AM521" s="122"/>
      <c r="AN521" s="122"/>
      <c r="AO521" s="12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</row>
    <row r="522" spans="1:52" ht="15.75" customHeight="1">
      <c r="A522" s="122"/>
      <c r="B522" s="122"/>
      <c r="C522" s="122"/>
      <c r="D522" s="123"/>
      <c r="E522" s="123"/>
      <c r="F522" s="122"/>
      <c r="G522" s="122"/>
      <c r="H522" s="124"/>
      <c r="I522" s="122"/>
      <c r="J522" s="122"/>
      <c r="K522" s="122"/>
      <c r="L522" s="125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6"/>
      <c r="AE522" s="122"/>
      <c r="AF522" s="126"/>
      <c r="AG522" s="122"/>
      <c r="AH522" s="126"/>
      <c r="AI522" s="122"/>
      <c r="AJ522" s="32"/>
      <c r="AK522" s="122"/>
      <c r="AL522" s="32"/>
      <c r="AM522" s="122"/>
      <c r="AN522" s="122"/>
      <c r="AO522" s="12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</row>
    <row r="523" spans="1:52" ht="15.75" customHeight="1">
      <c r="A523" s="122"/>
      <c r="B523" s="122"/>
      <c r="C523" s="122"/>
      <c r="D523" s="123"/>
      <c r="E523" s="123"/>
      <c r="F523" s="122"/>
      <c r="G523" s="122"/>
      <c r="H523" s="124"/>
      <c r="I523" s="122"/>
      <c r="J523" s="122"/>
      <c r="K523" s="122"/>
      <c r="L523" s="125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6"/>
      <c r="AE523" s="122"/>
      <c r="AF523" s="126"/>
      <c r="AG523" s="122"/>
      <c r="AH523" s="126"/>
      <c r="AI523" s="122"/>
      <c r="AJ523" s="32"/>
      <c r="AK523" s="122"/>
      <c r="AL523" s="32"/>
      <c r="AM523" s="122"/>
      <c r="AN523" s="122"/>
      <c r="AO523" s="12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</row>
    <row r="524" spans="1:52" ht="15.75" customHeight="1">
      <c r="A524" s="122"/>
      <c r="B524" s="122"/>
      <c r="C524" s="122"/>
      <c r="D524" s="123"/>
      <c r="E524" s="123"/>
      <c r="F524" s="122"/>
      <c r="G524" s="122"/>
      <c r="H524" s="124"/>
      <c r="I524" s="122"/>
      <c r="J524" s="122"/>
      <c r="K524" s="122"/>
      <c r="L524" s="125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6"/>
      <c r="AE524" s="122"/>
      <c r="AF524" s="126"/>
      <c r="AG524" s="122"/>
      <c r="AH524" s="126"/>
      <c r="AI524" s="122"/>
      <c r="AJ524" s="32"/>
      <c r="AK524" s="122"/>
      <c r="AL524" s="32"/>
      <c r="AM524" s="122"/>
      <c r="AN524" s="122"/>
      <c r="AO524" s="12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</row>
    <row r="525" spans="1:52" ht="15.75" customHeight="1">
      <c r="A525" s="122"/>
      <c r="B525" s="122"/>
      <c r="C525" s="122"/>
      <c r="D525" s="123"/>
      <c r="E525" s="123"/>
      <c r="F525" s="122"/>
      <c r="G525" s="122"/>
      <c r="H525" s="124"/>
      <c r="I525" s="122"/>
      <c r="J525" s="122"/>
      <c r="K525" s="122"/>
      <c r="L525" s="125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6"/>
      <c r="AE525" s="122"/>
      <c r="AF525" s="126"/>
      <c r="AG525" s="122"/>
      <c r="AH525" s="126"/>
      <c r="AI525" s="122"/>
      <c r="AJ525" s="32"/>
      <c r="AK525" s="122"/>
      <c r="AL525" s="32"/>
      <c r="AM525" s="122"/>
      <c r="AN525" s="122"/>
      <c r="AO525" s="12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</row>
    <row r="526" spans="1:52" ht="15.75" customHeight="1">
      <c r="A526" s="122"/>
      <c r="B526" s="122"/>
      <c r="C526" s="122"/>
      <c r="D526" s="123"/>
      <c r="E526" s="123"/>
      <c r="F526" s="122"/>
      <c r="G526" s="122"/>
      <c r="H526" s="124"/>
      <c r="I526" s="122"/>
      <c r="J526" s="122"/>
      <c r="K526" s="122"/>
      <c r="L526" s="125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6"/>
      <c r="AE526" s="122"/>
      <c r="AF526" s="126"/>
      <c r="AG526" s="122"/>
      <c r="AH526" s="126"/>
      <c r="AI526" s="122"/>
      <c r="AJ526" s="32"/>
      <c r="AK526" s="122"/>
      <c r="AL526" s="32"/>
      <c r="AM526" s="122"/>
      <c r="AN526" s="122"/>
      <c r="AO526" s="12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</row>
    <row r="527" spans="1:52" ht="15.75" customHeight="1">
      <c r="A527" s="122"/>
      <c r="B527" s="122"/>
      <c r="C527" s="122"/>
      <c r="D527" s="123"/>
      <c r="E527" s="123"/>
      <c r="F527" s="122"/>
      <c r="G527" s="122"/>
      <c r="H527" s="124"/>
      <c r="I527" s="122"/>
      <c r="J527" s="122"/>
      <c r="K527" s="122"/>
      <c r="L527" s="125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6"/>
      <c r="AE527" s="122"/>
      <c r="AF527" s="126"/>
      <c r="AG527" s="122"/>
      <c r="AH527" s="126"/>
      <c r="AI527" s="122"/>
      <c r="AJ527" s="32"/>
      <c r="AK527" s="122"/>
      <c r="AL527" s="32"/>
      <c r="AM527" s="122"/>
      <c r="AN527" s="122"/>
      <c r="AO527" s="12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</row>
    <row r="528" spans="1:52" ht="15.75" customHeight="1">
      <c r="A528" s="122"/>
      <c r="B528" s="122"/>
      <c r="C528" s="122"/>
      <c r="D528" s="123"/>
      <c r="E528" s="123"/>
      <c r="F528" s="122"/>
      <c r="G528" s="122"/>
      <c r="H528" s="124"/>
      <c r="I528" s="122"/>
      <c r="J528" s="122"/>
      <c r="K528" s="122"/>
      <c r="L528" s="125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6"/>
      <c r="AE528" s="122"/>
      <c r="AF528" s="126"/>
      <c r="AG528" s="122"/>
      <c r="AH528" s="126"/>
      <c r="AI528" s="122"/>
      <c r="AJ528" s="32"/>
      <c r="AK528" s="122"/>
      <c r="AL528" s="32"/>
      <c r="AM528" s="122"/>
      <c r="AN528" s="122"/>
      <c r="AO528" s="12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</row>
    <row r="529" spans="1:52" ht="15.75" customHeight="1">
      <c r="A529" s="122"/>
      <c r="B529" s="122"/>
      <c r="C529" s="122"/>
      <c r="D529" s="123"/>
      <c r="E529" s="123"/>
      <c r="F529" s="122"/>
      <c r="G529" s="122"/>
      <c r="H529" s="124"/>
      <c r="I529" s="122"/>
      <c r="J529" s="122"/>
      <c r="K529" s="122"/>
      <c r="L529" s="125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6"/>
      <c r="AE529" s="122"/>
      <c r="AF529" s="126"/>
      <c r="AG529" s="122"/>
      <c r="AH529" s="126"/>
      <c r="AI529" s="122"/>
      <c r="AJ529" s="32"/>
      <c r="AK529" s="122"/>
      <c r="AL529" s="32"/>
      <c r="AM529" s="122"/>
      <c r="AN529" s="122"/>
      <c r="AO529" s="12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</row>
    <row r="530" spans="1:52" ht="15.75" customHeight="1">
      <c r="A530" s="122"/>
      <c r="B530" s="122"/>
      <c r="C530" s="122"/>
      <c r="D530" s="123"/>
      <c r="E530" s="123"/>
      <c r="F530" s="122"/>
      <c r="G530" s="122"/>
      <c r="H530" s="124"/>
      <c r="I530" s="122"/>
      <c r="J530" s="122"/>
      <c r="K530" s="122"/>
      <c r="L530" s="125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6"/>
      <c r="AE530" s="122"/>
      <c r="AF530" s="126"/>
      <c r="AG530" s="122"/>
      <c r="AH530" s="126"/>
      <c r="AI530" s="122"/>
      <c r="AJ530" s="32"/>
      <c r="AK530" s="122"/>
      <c r="AL530" s="32"/>
      <c r="AM530" s="122"/>
      <c r="AN530" s="122"/>
      <c r="AO530" s="12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</row>
    <row r="531" spans="1:52" ht="15.75" customHeight="1">
      <c r="A531" s="122"/>
      <c r="B531" s="122"/>
      <c r="C531" s="122"/>
      <c r="D531" s="123"/>
      <c r="E531" s="123"/>
      <c r="F531" s="122"/>
      <c r="G531" s="122"/>
      <c r="H531" s="124"/>
      <c r="I531" s="122"/>
      <c r="J531" s="122"/>
      <c r="K531" s="122"/>
      <c r="L531" s="125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6"/>
      <c r="AE531" s="122"/>
      <c r="AF531" s="126"/>
      <c r="AG531" s="122"/>
      <c r="AH531" s="126"/>
      <c r="AI531" s="122"/>
      <c r="AJ531" s="32"/>
      <c r="AK531" s="122"/>
      <c r="AL531" s="32"/>
      <c r="AM531" s="122"/>
      <c r="AN531" s="122"/>
      <c r="AO531" s="12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</row>
    <row r="532" spans="1:52" ht="15.75" customHeight="1">
      <c r="A532" s="122"/>
      <c r="B532" s="122"/>
      <c r="C532" s="122"/>
      <c r="D532" s="123"/>
      <c r="E532" s="123"/>
      <c r="F532" s="122"/>
      <c r="G532" s="122"/>
      <c r="H532" s="124"/>
      <c r="I532" s="122"/>
      <c r="J532" s="122"/>
      <c r="K532" s="122"/>
      <c r="L532" s="125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6"/>
      <c r="AE532" s="122"/>
      <c r="AF532" s="126"/>
      <c r="AG532" s="122"/>
      <c r="AH532" s="126"/>
      <c r="AI532" s="122"/>
      <c r="AJ532" s="32"/>
      <c r="AK532" s="122"/>
      <c r="AL532" s="32"/>
      <c r="AM532" s="122"/>
      <c r="AN532" s="122"/>
      <c r="AO532" s="12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</row>
    <row r="533" spans="1:52" ht="15.75" customHeight="1">
      <c r="A533" s="122"/>
      <c r="B533" s="122"/>
      <c r="C533" s="122"/>
      <c r="D533" s="123"/>
      <c r="E533" s="123"/>
      <c r="F533" s="122"/>
      <c r="G533" s="122"/>
      <c r="H533" s="124"/>
      <c r="I533" s="122"/>
      <c r="J533" s="122"/>
      <c r="K533" s="122"/>
      <c r="L533" s="125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6"/>
      <c r="AE533" s="122"/>
      <c r="AF533" s="126"/>
      <c r="AG533" s="122"/>
      <c r="AH533" s="126"/>
      <c r="AI533" s="122"/>
      <c r="AJ533" s="32"/>
      <c r="AK533" s="122"/>
      <c r="AL533" s="32"/>
      <c r="AM533" s="122"/>
      <c r="AN533" s="122"/>
      <c r="AO533" s="12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</row>
    <row r="534" spans="1:52" ht="15.75" customHeight="1">
      <c r="A534" s="122"/>
      <c r="B534" s="122"/>
      <c r="C534" s="122"/>
      <c r="D534" s="123"/>
      <c r="E534" s="123"/>
      <c r="F534" s="122"/>
      <c r="G534" s="122"/>
      <c r="H534" s="124"/>
      <c r="I534" s="122"/>
      <c r="J534" s="122"/>
      <c r="K534" s="122"/>
      <c r="L534" s="125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6"/>
      <c r="AE534" s="122"/>
      <c r="AF534" s="126"/>
      <c r="AG534" s="122"/>
      <c r="AH534" s="126"/>
      <c r="AI534" s="122"/>
      <c r="AJ534" s="32"/>
      <c r="AK534" s="122"/>
      <c r="AL534" s="32"/>
      <c r="AM534" s="122"/>
      <c r="AN534" s="122"/>
      <c r="AO534" s="12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</row>
    <row r="535" spans="1:52" ht="15.75" customHeight="1">
      <c r="A535" s="122"/>
      <c r="B535" s="122"/>
      <c r="C535" s="122"/>
      <c r="D535" s="123"/>
      <c r="E535" s="123"/>
      <c r="F535" s="122"/>
      <c r="G535" s="122"/>
      <c r="H535" s="124"/>
      <c r="I535" s="122"/>
      <c r="J535" s="122"/>
      <c r="K535" s="122"/>
      <c r="L535" s="125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6"/>
      <c r="AE535" s="122"/>
      <c r="AF535" s="126"/>
      <c r="AG535" s="122"/>
      <c r="AH535" s="126"/>
      <c r="AI535" s="122"/>
      <c r="AJ535" s="32"/>
      <c r="AK535" s="122"/>
      <c r="AL535" s="32"/>
      <c r="AM535" s="122"/>
      <c r="AN535" s="122"/>
      <c r="AO535" s="12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</row>
    <row r="536" spans="1:52" ht="15.75" customHeight="1">
      <c r="A536" s="122"/>
      <c r="B536" s="122"/>
      <c r="C536" s="122"/>
      <c r="D536" s="123"/>
      <c r="E536" s="123"/>
      <c r="F536" s="122"/>
      <c r="G536" s="122"/>
      <c r="H536" s="124"/>
      <c r="I536" s="122"/>
      <c r="J536" s="122"/>
      <c r="K536" s="122"/>
      <c r="L536" s="125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6"/>
      <c r="AE536" s="122"/>
      <c r="AF536" s="126"/>
      <c r="AG536" s="122"/>
      <c r="AH536" s="126"/>
      <c r="AI536" s="122"/>
      <c r="AJ536" s="32"/>
      <c r="AK536" s="122"/>
      <c r="AL536" s="32"/>
      <c r="AM536" s="122"/>
      <c r="AN536" s="122"/>
      <c r="AO536" s="12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</row>
    <row r="537" spans="1:52" ht="15.75" customHeight="1">
      <c r="A537" s="122"/>
      <c r="B537" s="122"/>
      <c r="C537" s="122"/>
      <c r="D537" s="123"/>
      <c r="E537" s="123"/>
      <c r="F537" s="122"/>
      <c r="G537" s="122"/>
      <c r="H537" s="124"/>
      <c r="I537" s="122"/>
      <c r="J537" s="122"/>
      <c r="K537" s="122"/>
      <c r="L537" s="125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6"/>
      <c r="AE537" s="122"/>
      <c r="AF537" s="126"/>
      <c r="AG537" s="122"/>
      <c r="AH537" s="126"/>
      <c r="AI537" s="122"/>
      <c r="AJ537" s="32"/>
      <c r="AK537" s="122"/>
      <c r="AL537" s="32"/>
      <c r="AM537" s="122"/>
      <c r="AN537" s="122"/>
      <c r="AO537" s="12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</row>
    <row r="538" spans="1:52" ht="15.75" customHeight="1">
      <c r="A538" s="122"/>
      <c r="B538" s="122"/>
      <c r="C538" s="122"/>
      <c r="D538" s="123"/>
      <c r="E538" s="123"/>
      <c r="F538" s="122"/>
      <c r="G538" s="122"/>
      <c r="H538" s="124"/>
      <c r="I538" s="122"/>
      <c r="J538" s="122"/>
      <c r="K538" s="122"/>
      <c r="L538" s="125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6"/>
      <c r="AE538" s="122"/>
      <c r="AF538" s="126"/>
      <c r="AG538" s="122"/>
      <c r="AH538" s="126"/>
      <c r="AI538" s="122"/>
      <c r="AJ538" s="32"/>
      <c r="AK538" s="122"/>
      <c r="AL538" s="32"/>
      <c r="AM538" s="122"/>
      <c r="AN538" s="122"/>
      <c r="AO538" s="12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</row>
    <row r="539" spans="1:52" ht="15.75" customHeight="1">
      <c r="A539" s="122"/>
      <c r="B539" s="122"/>
      <c r="C539" s="122"/>
      <c r="D539" s="123"/>
      <c r="E539" s="123"/>
      <c r="F539" s="122"/>
      <c r="G539" s="122"/>
      <c r="H539" s="124"/>
      <c r="I539" s="122"/>
      <c r="J539" s="122"/>
      <c r="K539" s="122"/>
      <c r="L539" s="125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6"/>
      <c r="AE539" s="122"/>
      <c r="AF539" s="126"/>
      <c r="AG539" s="122"/>
      <c r="AH539" s="126"/>
      <c r="AI539" s="122"/>
      <c r="AJ539" s="32"/>
      <c r="AK539" s="122"/>
      <c r="AL539" s="32"/>
      <c r="AM539" s="122"/>
      <c r="AN539" s="122"/>
      <c r="AO539" s="12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</row>
    <row r="540" spans="1:52" ht="15.75" customHeight="1">
      <c r="A540" s="122"/>
      <c r="B540" s="122"/>
      <c r="C540" s="122"/>
      <c r="D540" s="123"/>
      <c r="E540" s="123"/>
      <c r="F540" s="122"/>
      <c r="G540" s="122"/>
      <c r="H540" s="124"/>
      <c r="I540" s="122"/>
      <c r="J540" s="122"/>
      <c r="K540" s="122"/>
      <c r="L540" s="125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6"/>
      <c r="AE540" s="122"/>
      <c r="AF540" s="126"/>
      <c r="AG540" s="122"/>
      <c r="AH540" s="126"/>
      <c r="AI540" s="122"/>
      <c r="AJ540" s="32"/>
      <c r="AK540" s="122"/>
      <c r="AL540" s="32"/>
      <c r="AM540" s="122"/>
      <c r="AN540" s="122"/>
      <c r="AO540" s="12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</row>
    <row r="541" spans="1:52" ht="15.75" customHeight="1">
      <c r="A541" s="122"/>
      <c r="B541" s="122"/>
      <c r="C541" s="122"/>
      <c r="D541" s="123"/>
      <c r="E541" s="123"/>
      <c r="F541" s="122"/>
      <c r="G541" s="122"/>
      <c r="H541" s="124"/>
      <c r="I541" s="122"/>
      <c r="J541" s="122"/>
      <c r="K541" s="122"/>
      <c r="L541" s="125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6"/>
      <c r="AE541" s="122"/>
      <c r="AF541" s="126"/>
      <c r="AG541" s="122"/>
      <c r="AH541" s="126"/>
      <c r="AI541" s="122"/>
      <c r="AJ541" s="32"/>
      <c r="AK541" s="122"/>
      <c r="AL541" s="32"/>
      <c r="AM541" s="122"/>
      <c r="AN541" s="122"/>
      <c r="AO541" s="12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</row>
    <row r="542" spans="1:52" ht="15.75" customHeight="1">
      <c r="A542" s="122"/>
      <c r="B542" s="122"/>
      <c r="C542" s="122"/>
      <c r="D542" s="123"/>
      <c r="E542" s="123"/>
      <c r="F542" s="122"/>
      <c r="G542" s="122"/>
      <c r="H542" s="124"/>
      <c r="I542" s="122"/>
      <c r="J542" s="122"/>
      <c r="K542" s="122"/>
      <c r="L542" s="125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6"/>
      <c r="AE542" s="122"/>
      <c r="AF542" s="126"/>
      <c r="AG542" s="122"/>
      <c r="AH542" s="126"/>
      <c r="AI542" s="122"/>
      <c r="AJ542" s="32"/>
      <c r="AK542" s="122"/>
      <c r="AL542" s="32"/>
      <c r="AM542" s="122"/>
      <c r="AN542" s="122"/>
      <c r="AO542" s="12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</row>
    <row r="543" spans="1:52" ht="15.75" customHeight="1">
      <c r="A543" s="122"/>
      <c r="B543" s="122"/>
      <c r="C543" s="122"/>
      <c r="D543" s="123"/>
      <c r="E543" s="123"/>
      <c r="F543" s="122"/>
      <c r="G543" s="122"/>
      <c r="H543" s="124"/>
      <c r="I543" s="122"/>
      <c r="J543" s="122"/>
      <c r="K543" s="122"/>
      <c r="L543" s="125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6"/>
      <c r="AE543" s="122"/>
      <c r="AF543" s="126"/>
      <c r="AG543" s="122"/>
      <c r="AH543" s="126"/>
      <c r="AI543" s="122"/>
      <c r="AJ543" s="32"/>
      <c r="AK543" s="122"/>
      <c r="AL543" s="32"/>
      <c r="AM543" s="122"/>
      <c r="AN543" s="122"/>
      <c r="AO543" s="12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</row>
    <row r="544" spans="1:52" ht="15.75" customHeight="1">
      <c r="A544" s="122"/>
      <c r="B544" s="122"/>
      <c r="C544" s="122"/>
      <c r="D544" s="123"/>
      <c r="E544" s="123"/>
      <c r="F544" s="122"/>
      <c r="G544" s="122"/>
      <c r="H544" s="124"/>
      <c r="I544" s="122"/>
      <c r="J544" s="122"/>
      <c r="K544" s="122"/>
      <c r="L544" s="125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6"/>
      <c r="AE544" s="122"/>
      <c r="AF544" s="126"/>
      <c r="AG544" s="122"/>
      <c r="AH544" s="126"/>
      <c r="AI544" s="122"/>
      <c r="AJ544" s="32"/>
      <c r="AK544" s="122"/>
      <c r="AL544" s="32"/>
      <c r="AM544" s="122"/>
      <c r="AN544" s="122"/>
      <c r="AO544" s="12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</row>
    <row r="545" spans="1:52" ht="15.75" customHeight="1">
      <c r="A545" s="122"/>
      <c r="B545" s="122"/>
      <c r="C545" s="122"/>
      <c r="D545" s="123"/>
      <c r="E545" s="123"/>
      <c r="F545" s="122"/>
      <c r="G545" s="122"/>
      <c r="H545" s="124"/>
      <c r="I545" s="122"/>
      <c r="J545" s="122"/>
      <c r="K545" s="122"/>
      <c r="L545" s="125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6"/>
      <c r="AE545" s="122"/>
      <c r="AF545" s="126"/>
      <c r="AG545" s="122"/>
      <c r="AH545" s="126"/>
      <c r="AI545" s="122"/>
      <c r="AJ545" s="32"/>
      <c r="AK545" s="122"/>
      <c r="AL545" s="32"/>
      <c r="AM545" s="122"/>
      <c r="AN545" s="122"/>
      <c r="AO545" s="12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</row>
    <row r="546" spans="1:52" ht="15.75" customHeight="1">
      <c r="A546" s="122"/>
      <c r="B546" s="122"/>
      <c r="C546" s="122"/>
      <c r="D546" s="123"/>
      <c r="E546" s="123"/>
      <c r="F546" s="122"/>
      <c r="G546" s="122"/>
      <c r="H546" s="124"/>
      <c r="I546" s="122"/>
      <c r="J546" s="122"/>
      <c r="K546" s="122"/>
      <c r="L546" s="125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6"/>
      <c r="AE546" s="122"/>
      <c r="AF546" s="126"/>
      <c r="AG546" s="122"/>
      <c r="AH546" s="126"/>
      <c r="AI546" s="122"/>
      <c r="AJ546" s="32"/>
      <c r="AK546" s="122"/>
      <c r="AL546" s="32"/>
      <c r="AM546" s="122"/>
      <c r="AN546" s="122"/>
      <c r="AO546" s="12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</row>
    <row r="547" spans="1:52" ht="15.75" customHeight="1">
      <c r="A547" s="122"/>
      <c r="B547" s="122"/>
      <c r="C547" s="122"/>
      <c r="D547" s="123"/>
      <c r="E547" s="123"/>
      <c r="F547" s="122"/>
      <c r="G547" s="122"/>
      <c r="H547" s="124"/>
      <c r="I547" s="122"/>
      <c r="J547" s="122"/>
      <c r="K547" s="122"/>
      <c r="L547" s="125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6"/>
      <c r="AE547" s="122"/>
      <c r="AF547" s="126"/>
      <c r="AG547" s="122"/>
      <c r="AH547" s="126"/>
      <c r="AI547" s="122"/>
      <c r="AJ547" s="32"/>
      <c r="AK547" s="122"/>
      <c r="AL547" s="32"/>
      <c r="AM547" s="122"/>
      <c r="AN547" s="122"/>
      <c r="AO547" s="12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</row>
    <row r="548" spans="1:52" ht="15.75" customHeight="1">
      <c r="A548" s="122"/>
      <c r="B548" s="122"/>
      <c r="C548" s="122"/>
      <c r="D548" s="123"/>
      <c r="E548" s="123"/>
      <c r="F548" s="122"/>
      <c r="G548" s="122"/>
      <c r="H548" s="124"/>
      <c r="I548" s="122"/>
      <c r="J548" s="122"/>
      <c r="K548" s="122"/>
      <c r="L548" s="125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6"/>
      <c r="AE548" s="122"/>
      <c r="AF548" s="126"/>
      <c r="AG548" s="122"/>
      <c r="AH548" s="126"/>
      <c r="AI548" s="122"/>
      <c r="AJ548" s="32"/>
      <c r="AK548" s="122"/>
      <c r="AL548" s="32"/>
      <c r="AM548" s="122"/>
      <c r="AN548" s="122"/>
      <c r="AO548" s="12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</row>
    <row r="549" spans="1:52" ht="15.75" customHeight="1">
      <c r="A549" s="122"/>
      <c r="B549" s="122"/>
      <c r="C549" s="122"/>
      <c r="D549" s="123"/>
      <c r="E549" s="123"/>
      <c r="F549" s="122"/>
      <c r="G549" s="122"/>
      <c r="H549" s="124"/>
      <c r="I549" s="122"/>
      <c r="J549" s="122"/>
      <c r="K549" s="122"/>
      <c r="L549" s="125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6"/>
      <c r="AE549" s="122"/>
      <c r="AF549" s="126"/>
      <c r="AG549" s="122"/>
      <c r="AH549" s="126"/>
      <c r="AI549" s="122"/>
      <c r="AJ549" s="32"/>
      <c r="AK549" s="122"/>
      <c r="AL549" s="32"/>
      <c r="AM549" s="122"/>
      <c r="AN549" s="122"/>
      <c r="AO549" s="12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</row>
    <row r="550" spans="1:52" ht="15.75" customHeight="1">
      <c r="A550" s="122"/>
      <c r="B550" s="122"/>
      <c r="C550" s="122"/>
      <c r="D550" s="123"/>
      <c r="E550" s="123"/>
      <c r="F550" s="122"/>
      <c r="G550" s="122"/>
      <c r="H550" s="124"/>
      <c r="I550" s="122"/>
      <c r="J550" s="122"/>
      <c r="K550" s="122"/>
      <c r="L550" s="125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6"/>
      <c r="AE550" s="122"/>
      <c r="AF550" s="126"/>
      <c r="AG550" s="122"/>
      <c r="AH550" s="126"/>
      <c r="AI550" s="122"/>
      <c r="AJ550" s="32"/>
      <c r="AK550" s="122"/>
      <c r="AL550" s="32"/>
      <c r="AM550" s="122"/>
      <c r="AN550" s="122"/>
      <c r="AO550" s="12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</row>
    <row r="551" spans="1:52" ht="15.75" customHeight="1">
      <c r="A551" s="122"/>
      <c r="B551" s="122"/>
      <c r="C551" s="122"/>
      <c r="D551" s="123"/>
      <c r="E551" s="123"/>
      <c r="F551" s="122"/>
      <c r="G551" s="122"/>
      <c r="H551" s="124"/>
      <c r="I551" s="122"/>
      <c r="J551" s="122"/>
      <c r="K551" s="122"/>
      <c r="L551" s="125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6"/>
      <c r="AE551" s="122"/>
      <c r="AF551" s="126"/>
      <c r="AG551" s="122"/>
      <c r="AH551" s="126"/>
      <c r="AI551" s="122"/>
      <c r="AJ551" s="32"/>
      <c r="AK551" s="122"/>
      <c r="AL551" s="32"/>
      <c r="AM551" s="122"/>
      <c r="AN551" s="122"/>
      <c r="AO551" s="12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</row>
    <row r="552" spans="1:52" ht="15.75" customHeight="1">
      <c r="A552" s="122"/>
      <c r="B552" s="122"/>
      <c r="C552" s="122"/>
      <c r="D552" s="123"/>
      <c r="E552" s="123"/>
      <c r="F552" s="122"/>
      <c r="G552" s="122"/>
      <c r="H552" s="124"/>
      <c r="I552" s="122"/>
      <c r="J552" s="122"/>
      <c r="K552" s="122"/>
      <c r="L552" s="125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6"/>
      <c r="AE552" s="122"/>
      <c r="AF552" s="126"/>
      <c r="AG552" s="122"/>
      <c r="AH552" s="126"/>
      <c r="AI552" s="122"/>
      <c r="AJ552" s="32"/>
      <c r="AK552" s="122"/>
      <c r="AL552" s="32"/>
      <c r="AM552" s="122"/>
      <c r="AN552" s="122"/>
      <c r="AO552" s="12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</row>
    <row r="553" spans="1:52" ht="15.75" customHeight="1">
      <c r="A553" s="122"/>
      <c r="B553" s="122"/>
      <c r="C553" s="122"/>
      <c r="D553" s="123"/>
      <c r="E553" s="123"/>
      <c r="F553" s="122"/>
      <c r="G553" s="122"/>
      <c r="H553" s="124"/>
      <c r="I553" s="122"/>
      <c r="J553" s="122"/>
      <c r="K553" s="122"/>
      <c r="L553" s="125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6"/>
      <c r="AE553" s="122"/>
      <c r="AF553" s="126"/>
      <c r="AG553" s="122"/>
      <c r="AH553" s="126"/>
      <c r="AI553" s="122"/>
      <c r="AJ553" s="32"/>
      <c r="AK553" s="122"/>
      <c r="AL553" s="32"/>
      <c r="AM553" s="122"/>
      <c r="AN553" s="122"/>
      <c r="AO553" s="12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</row>
    <row r="554" spans="1:52" ht="15.75" customHeight="1">
      <c r="A554" s="122"/>
      <c r="B554" s="122"/>
      <c r="C554" s="122"/>
      <c r="D554" s="123"/>
      <c r="E554" s="123"/>
      <c r="F554" s="122"/>
      <c r="G554" s="122"/>
      <c r="H554" s="124"/>
      <c r="I554" s="122"/>
      <c r="J554" s="122"/>
      <c r="K554" s="122"/>
      <c r="L554" s="125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6"/>
      <c r="AE554" s="122"/>
      <c r="AF554" s="126"/>
      <c r="AG554" s="122"/>
      <c r="AH554" s="126"/>
      <c r="AI554" s="122"/>
      <c r="AJ554" s="32"/>
      <c r="AK554" s="122"/>
      <c r="AL554" s="32"/>
      <c r="AM554" s="122"/>
      <c r="AN554" s="122"/>
      <c r="AO554" s="12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</row>
    <row r="555" spans="1:52" ht="15.75" customHeight="1">
      <c r="A555" s="122"/>
      <c r="B555" s="122"/>
      <c r="C555" s="122"/>
      <c r="D555" s="123"/>
      <c r="E555" s="123"/>
      <c r="F555" s="122"/>
      <c r="G555" s="122"/>
      <c r="H555" s="124"/>
      <c r="I555" s="122"/>
      <c r="J555" s="122"/>
      <c r="K555" s="122"/>
      <c r="L555" s="125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6"/>
      <c r="AE555" s="122"/>
      <c r="AF555" s="126"/>
      <c r="AG555" s="122"/>
      <c r="AH555" s="126"/>
      <c r="AI555" s="122"/>
      <c r="AJ555" s="32"/>
      <c r="AK555" s="122"/>
      <c r="AL555" s="32"/>
      <c r="AM555" s="122"/>
      <c r="AN555" s="122"/>
      <c r="AO555" s="12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</row>
    <row r="556" spans="1:52" ht="15.75" customHeight="1">
      <c r="A556" s="122"/>
      <c r="B556" s="122"/>
      <c r="C556" s="122"/>
      <c r="D556" s="123"/>
      <c r="E556" s="123"/>
      <c r="F556" s="122"/>
      <c r="G556" s="122"/>
      <c r="H556" s="124"/>
      <c r="I556" s="122"/>
      <c r="J556" s="122"/>
      <c r="K556" s="122"/>
      <c r="L556" s="125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6"/>
      <c r="AE556" s="122"/>
      <c r="AF556" s="126"/>
      <c r="AG556" s="122"/>
      <c r="AH556" s="126"/>
      <c r="AI556" s="122"/>
      <c r="AJ556" s="32"/>
      <c r="AK556" s="122"/>
      <c r="AL556" s="32"/>
      <c r="AM556" s="122"/>
      <c r="AN556" s="122"/>
      <c r="AO556" s="12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</row>
    <row r="557" spans="1:52" ht="15.75" customHeight="1">
      <c r="A557" s="122"/>
      <c r="B557" s="122"/>
      <c r="C557" s="122"/>
      <c r="D557" s="123"/>
      <c r="E557" s="123"/>
      <c r="F557" s="122"/>
      <c r="G557" s="122"/>
      <c r="H557" s="124"/>
      <c r="I557" s="122"/>
      <c r="J557" s="122"/>
      <c r="K557" s="122"/>
      <c r="L557" s="125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6"/>
      <c r="AE557" s="122"/>
      <c r="AF557" s="126"/>
      <c r="AG557" s="122"/>
      <c r="AH557" s="126"/>
      <c r="AI557" s="122"/>
      <c r="AJ557" s="32"/>
      <c r="AK557" s="122"/>
      <c r="AL557" s="32"/>
      <c r="AM557" s="122"/>
      <c r="AN557" s="122"/>
      <c r="AO557" s="12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</row>
    <row r="558" spans="1:52" ht="15.75" customHeight="1">
      <c r="A558" s="122"/>
      <c r="B558" s="122"/>
      <c r="C558" s="122"/>
      <c r="D558" s="123"/>
      <c r="E558" s="123"/>
      <c r="F558" s="122"/>
      <c r="G558" s="122"/>
      <c r="H558" s="124"/>
      <c r="I558" s="122"/>
      <c r="J558" s="122"/>
      <c r="K558" s="122"/>
      <c r="L558" s="125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6"/>
      <c r="AE558" s="122"/>
      <c r="AF558" s="126"/>
      <c r="AG558" s="122"/>
      <c r="AH558" s="126"/>
      <c r="AI558" s="122"/>
      <c r="AJ558" s="32"/>
      <c r="AK558" s="122"/>
      <c r="AL558" s="32"/>
      <c r="AM558" s="122"/>
      <c r="AN558" s="122"/>
      <c r="AO558" s="12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</row>
    <row r="559" spans="1:52" ht="15.75" customHeight="1">
      <c r="A559" s="122"/>
      <c r="B559" s="122"/>
      <c r="C559" s="122"/>
      <c r="D559" s="123"/>
      <c r="E559" s="123"/>
      <c r="F559" s="122"/>
      <c r="G559" s="122"/>
      <c r="H559" s="124"/>
      <c r="I559" s="122"/>
      <c r="J559" s="122"/>
      <c r="K559" s="122"/>
      <c r="L559" s="125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6"/>
      <c r="AE559" s="122"/>
      <c r="AF559" s="126"/>
      <c r="AG559" s="122"/>
      <c r="AH559" s="126"/>
      <c r="AI559" s="122"/>
      <c r="AJ559" s="32"/>
      <c r="AK559" s="122"/>
      <c r="AL559" s="32"/>
      <c r="AM559" s="122"/>
      <c r="AN559" s="122"/>
      <c r="AO559" s="12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</row>
    <row r="560" spans="1:52" ht="15.75" customHeight="1">
      <c r="A560" s="122"/>
      <c r="B560" s="122"/>
      <c r="C560" s="122"/>
      <c r="D560" s="123"/>
      <c r="E560" s="123"/>
      <c r="F560" s="122"/>
      <c r="G560" s="122"/>
      <c r="H560" s="124"/>
      <c r="I560" s="122"/>
      <c r="J560" s="122"/>
      <c r="K560" s="122"/>
      <c r="L560" s="125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6"/>
      <c r="AE560" s="122"/>
      <c r="AF560" s="126"/>
      <c r="AG560" s="122"/>
      <c r="AH560" s="126"/>
      <c r="AI560" s="122"/>
      <c r="AJ560" s="32"/>
      <c r="AK560" s="122"/>
      <c r="AL560" s="32"/>
      <c r="AM560" s="122"/>
      <c r="AN560" s="122"/>
      <c r="AO560" s="12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</row>
    <row r="561" spans="1:52" ht="15.75" customHeight="1">
      <c r="A561" s="122"/>
      <c r="B561" s="122"/>
      <c r="C561" s="122"/>
      <c r="D561" s="123"/>
      <c r="E561" s="123"/>
      <c r="F561" s="122"/>
      <c r="G561" s="122"/>
      <c r="H561" s="124"/>
      <c r="I561" s="122"/>
      <c r="J561" s="122"/>
      <c r="K561" s="122"/>
      <c r="L561" s="125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6"/>
      <c r="AE561" s="122"/>
      <c r="AF561" s="126"/>
      <c r="AG561" s="122"/>
      <c r="AH561" s="126"/>
      <c r="AI561" s="122"/>
      <c r="AJ561" s="32"/>
      <c r="AK561" s="122"/>
      <c r="AL561" s="32"/>
      <c r="AM561" s="122"/>
      <c r="AN561" s="122"/>
      <c r="AO561" s="12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</row>
    <row r="562" spans="1:52" ht="15.75" customHeight="1">
      <c r="A562" s="122"/>
      <c r="B562" s="122"/>
      <c r="C562" s="122"/>
      <c r="D562" s="123"/>
      <c r="E562" s="123"/>
      <c r="F562" s="122"/>
      <c r="G562" s="122"/>
      <c r="H562" s="124"/>
      <c r="I562" s="122"/>
      <c r="J562" s="122"/>
      <c r="K562" s="122"/>
      <c r="L562" s="125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6"/>
      <c r="AE562" s="122"/>
      <c r="AF562" s="126"/>
      <c r="AG562" s="122"/>
      <c r="AH562" s="126"/>
      <c r="AI562" s="122"/>
      <c r="AJ562" s="32"/>
      <c r="AK562" s="122"/>
      <c r="AL562" s="32"/>
      <c r="AM562" s="122"/>
      <c r="AN562" s="122"/>
      <c r="AO562" s="12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</row>
    <row r="563" spans="1:52" ht="15.75" customHeight="1">
      <c r="A563" s="122"/>
      <c r="B563" s="122"/>
      <c r="C563" s="122"/>
      <c r="D563" s="123"/>
      <c r="E563" s="123"/>
      <c r="F563" s="122"/>
      <c r="G563" s="122"/>
      <c r="H563" s="124"/>
      <c r="I563" s="122"/>
      <c r="J563" s="122"/>
      <c r="K563" s="122"/>
      <c r="L563" s="125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6"/>
      <c r="AE563" s="122"/>
      <c r="AF563" s="126"/>
      <c r="AG563" s="122"/>
      <c r="AH563" s="126"/>
      <c r="AI563" s="122"/>
      <c r="AJ563" s="32"/>
      <c r="AK563" s="122"/>
      <c r="AL563" s="32"/>
      <c r="AM563" s="122"/>
      <c r="AN563" s="122"/>
      <c r="AO563" s="12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</row>
    <row r="564" spans="1:52" ht="15.75" customHeight="1">
      <c r="A564" s="122"/>
      <c r="B564" s="122"/>
      <c r="C564" s="122"/>
      <c r="D564" s="123"/>
      <c r="E564" s="123"/>
      <c r="F564" s="122"/>
      <c r="G564" s="122"/>
      <c r="H564" s="124"/>
      <c r="I564" s="122"/>
      <c r="J564" s="122"/>
      <c r="K564" s="122"/>
      <c r="L564" s="125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6"/>
      <c r="AE564" s="122"/>
      <c r="AF564" s="126"/>
      <c r="AG564" s="122"/>
      <c r="AH564" s="126"/>
      <c r="AI564" s="122"/>
      <c r="AJ564" s="32"/>
      <c r="AK564" s="122"/>
      <c r="AL564" s="32"/>
      <c r="AM564" s="122"/>
      <c r="AN564" s="122"/>
      <c r="AO564" s="12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</row>
    <row r="565" spans="1:52" ht="15.75" customHeight="1">
      <c r="A565" s="122"/>
      <c r="B565" s="122"/>
      <c r="C565" s="122"/>
      <c r="D565" s="123"/>
      <c r="E565" s="123"/>
      <c r="F565" s="122"/>
      <c r="G565" s="122"/>
      <c r="H565" s="124"/>
      <c r="I565" s="122"/>
      <c r="J565" s="122"/>
      <c r="K565" s="122"/>
      <c r="L565" s="125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6"/>
      <c r="AE565" s="122"/>
      <c r="AF565" s="126"/>
      <c r="AG565" s="122"/>
      <c r="AH565" s="126"/>
      <c r="AI565" s="122"/>
      <c r="AJ565" s="32"/>
      <c r="AK565" s="122"/>
      <c r="AL565" s="32"/>
      <c r="AM565" s="122"/>
      <c r="AN565" s="122"/>
      <c r="AO565" s="12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</row>
    <row r="566" spans="1:52" ht="15.75" customHeight="1">
      <c r="A566" s="122"/>
      <c r="B566" s="122"/>
      <c r="C566" s="122"/>
      <c r="D566" s="123"/>
      <c r="E566" s="123"/>
      <c r="F566" s="122"/>
      <c r="G566" s="122"/>
      <c r="H566" s="124"/>
      <c r="I566" s="122"/>
      <c r="J566" s="122"/>
      <c r="K566" s="122"/>
      <c r="L566" s="125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6"/>
      <c r="AE566" s="122"/>
      <c r="AF566" s="126"/>
      <c r="AG566" s="122"/>
      <c r="AH566" s="126"/>
      <c r="AI566" s="122"/>
      <c r="AJ566" s="32"/>
      <c r="AK566" s="122"/>
      <c r="AL566" s="32"/>
      <c r="AM566" s="122"/>
      <c r="AN566" s="122"/>
      <c r="AO566" s="12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</row>
    <row r="567" spans="1:52" ht="15.75" customHeight="1">
      <c r="A567" s="122"/>
      <c r="B567" s="122"/>
      <c r="C567" s="122"/>
      <c r="D567" s="123"/>
      <c r="E567" s="123"/>
      <c r="F567" s="122"/>
      <c r="G567" s="122"/>
      <c r="H567" s="124"/>
      <c r="I567" s="122"/>
      <c r="J567" s="122"/>
      <c r="K567" s="122"/>
      <c r="L567" s="125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6"/>
      <c r="AE567" s="122"/>
      <c r="AF567" s="126"/>
      <c r="AG567" s="122"/>
      <c r="AH567" s="126"/>
      <c r="AI567" s="122"/>
      <c r="AJ567" s="32"/>
      <c r="AK567" s="122"/>
      <c r="AL567" s="32"/>
      <c r="AM567" s="122"/>
      <c r="AN567" s="122"/>
      <c r="AO567" s="12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</row>
    <row r="568" spans="1:52" ht="15.75" customHeight="1">
      <c r="A568" s="122"/>
      <c r="B568" s="122"/>
      <c r="C568" s="122"/>
      <c r="D568" s="123"/>
      <c r="E568" s="123"/>
      <c r="F568" s="122"/>
      <c r="G568" s="122"/>
      <c r="H568" s="124"/>
      <c r="I568" s="122"/>
      <c r="J568" s="122"/>
      <c r="K568" s="122"/>
      <c r="L568" s="125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6"/>
      <c r="AE568" s="122"/>
      <c r="AF568" s="126"/>
      <c r="AG568" s="122"/>
      <c r="AH568" s="126"/>
      <c r="AI568" s="122"/>
      <c r="AJ568" s="32"/>
      <c r="AK568" s="122"/>
      <c r="AL568" s="32"/>
      <c r="AM568" s="122"/>
      <c r="AN568" s="122"/>
      <c r="AO568" s="12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</row>
    <row r="569" spans="1:52" ht="15.75" customHeight="1">
      <c r="A569" s="122"/>
      <c r="B569" s="122"/>
      <c r="C569" s="122"/>
      <c r="D569" s="123"/>
      <c r="E569" s="123"/>
      <c r="F569" s="122"/>
      <c r="G569" s="122"/>
      <c r="H569" s="124"/>
      <c r="I569" s="122"/>
      <c r="J569" s="122"/>
      <c r="K569" s="122"/>
      <c r="L569" s="125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6"/>
      <c r="AE569" s="122"/>
      <c r="AF569" s="126"/>
      <c r="AG569" s="122"/>
      <c r="AH569" s="126"/>
      <c r="AI569" s="122"/>
      <c r="AJ569" s="32"/>
      <c r="AK569" s="122"/>
      <c r="AL569" s="32"/>
      <c r="AM569" s="122"/>
      <c r="AN569" s="122"/>
      <c r="AO569" s="12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</row>
    <row r="570" spans="1:52" ht="15.75" customHeight="1">
      <c r="A570" s="122"/>
      <c r="B570" s="122"/>
      <c r="C570" s="122"/>
      <c r="D570" s="123"/>
      <c r="E570" s="123"/>
      <c r="F570" s="122"/>
      <c r="G570" s="122"/>
      <c r="H570" s="124"/>
      <c r="I570" s="122"/>
      <c r="J570" s="122"/>
      <c r="K570" s="122"/>
      <c r="L570" s="125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6"/>
      <c r="AE570" s="122"/>
      <c r="AF570" s="126"/>
      <c r="AG570" s="122"/>
      <c r="AH570" s="126"/>
      <c r="AI570" s="122"/>
      <c r="AJ570" s="32"/>
      <c r="AK570" s="122"/>
      <c r="AL570" s="32"/>
      <c r="AM570" s="122"/>
      <c r="AN570" s="122"/>
      <c r="AO570" s="12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</row>
    <row r="571" spans="1:52" ht="15.75" customHeight="1">
      <c r="A571" s="122"/>
      <c r="B571" s="122"/>
      <c r="C571" s="122"/>
      <c r="D571" s="123"/>
      <c r="E571" s="123"/>
      <c r="F571" s="122"/>
      <c r="G571" s="122"/>
      <c r="H571" s="124"/>
      <c r="I571" s="122"/>
      <c r="J571" s="122"/>
      <c r="K571" s="122"/>
      <c r="L571" s="125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6"/>
      <c r="AE571" s="122"/>
      <c r="AF571" s="126"/>
      <c r="AG571" s="122"/>
      <c r="AH571" s="126"/>
      <c r="AI571" s="122"/>
      <c r="AJ571" s="32"/>
      <c r="AK571" s="122"/>
      <c r="AL571" s="32"/>
      <c r="AM571" s="122"/>
      <c r="AN571" s="122"/>
      <c r="AO571" s="12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</row>
    <row r="572" spans="1:52" ht="15.75" customHeight="1">
      <c r="A572" s="122"/>
      <c r="B572" s="122"/>
      <c r="C572" s="122"/>
      <c r="D572" s="123"/>
      <c r="E572" s="123"/>
      <c r="F572" s="122"/>
      <c r="G572" s="122"/>
      <c r="H572" s="124"/>
      <c r="I572" s="122"/>
      <c r="J572" s="122"/>
      <c r="K572" s="122"/>
      <c r="L572" s="125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6"/>
      <c r="AE572" s="122"/>
      <c r="AF572" s="126"/>
      <c r="AG572" s="122"/>
      <c r="AH572" s="126"/>
      <c r="AI572" s="122"/>
      <c r="AJ572" s="32"/>
      <c r="AK572" s="122"/>
      <c r="AL572" s="32"/>
      <c r="AM572" s="122"/>
      <c r="AN572" s="122"/>
      <c r="AO572" s="12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</row>
    <row r="573" spans="1:52" ht="15.75" customHeight="1">
      <c r="A573" s="122"/>
      <c r="B573" s="122"/>
      <c r="C573" s="122"/>
      <c r="D573" s="123"/>
      <c r="E573" s="123"/>
      <c r="F573" s="122"/>
      <c r="G573" s="122"/>
      <c r="H573" s="124"/>
      <c r="I573" s="122"/>
      <c r="J573" s="122"/>
      <c r="K573" s="122"/>
      <c r="L573" s="125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6"/>
      <c r="AE573" s="122"/>
      <c r="AF573" s="126"/>
      <c r="AG573" s="122"/>
      <c r="AH573" s="126"/>
      <c r="AI573" s="122"/>
      <c r="AJ573" s="32"/>
      <c r="AK573" s="122"/>
      <c r="AL573" s="32"/>
      <c r="AM573" s="122"/>
      <c r="AN573" s="122"/>
      <c r="AO573" s="12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</row>
    <row r="574" spans="1:52" ht="15.75" customHeight="1">
      <c r="A574" s="122"/>
      <c r="B574" s="122"/>
      <c r="C574" s="122"/>
      <c r="D574" s="123"/>
      <c r="E574" s="123"/>
      <c r="F574" s="122"/>
      <c r="G574" s="122"/>
      <c r="H574" s="124"/>
      <c r="I574" s="122"/>
      <c r="J574" s="122"/>
      <c r="K574" s="122"/>
      <c r="L574" s="125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6"/>
      <c r="AE574" s="122"/>
      <c r="AF574" s="126"/>
      <c r="AG574" s="122"/>
      <c r="AH574" s="126"/>
      <c r="AI574" s="122"/>
      <c r="AJ574" s="32"/>
      <c r="AK574" s="122"/>
      <c r="AL574" s="32"/>
      <c r="AM574" s="122"/>
      <c r="AN574" s="122"/>
      <c r="AO574" s="12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</row>
    <row r="575" spans="1:52" ht="15.75" customHeight="1">
      <c r="A575" s="122"/>
      <c r="B575" s="122"/>
      <c r="C575" s="122"/>
      <c r="D575" s="123"/>
      <c r="E575" s="123"/>
      <c r="F575" s="122"/>
      <c r="G575" s="122"/>
      <c r="H575" s="124"/>
      <c r="I575" s="122"/>
      <c r="J575" s="122"/>
      <c r="K575" s="122"/>
      <c r="L575" s="125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6"/>
      <c r="AE575" s="122"/>
      <c r="AF575" s="126"/>
      <c r="AG575" s="122"/>
      <c r="AH575" s="126"/>
      <c r="AI575" s="122"/>
      <c r="AJ575" s="32"/>
      <c r="AK575" s="122"/>
      <c r="AL575" s="32"/>
      <c r="AM575" s="122"/>
      <c r="AN575" s="122"/>
      <c r="AO575" s="12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</row>
    <row r="576" spans="1:52" ht="15.75" customHeight="1">
      <c r="A576" s="122"/>
      <c r="B576" s="122"/>
      <c r="C576" s="122"/>
      <c r="D576" s="123"/>
      <c r="E576" s="123"/>
      <c r="F576" s="122"/>
      <c r="G576" s="122"/>
      <c r="H576" s="124"/>
      <c r="I576" s="122"/>
      <c r="J576" s="122"/>
      <c r="K576" s="122"/>
      <c r="L576" s="125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6"/>
      <c r="AE576" s="122"/>
      <c r="AF576" s="126"/>
      <c r="AG576" s="122"/>
      <c r="AH576" s="126"/>
      <c r="AI576" s="122"/>
      <c r="AJ576" s="32"/>
      <c r="AK576" s="122"/>
      <c r="AL576" s="32"/>
      <c r="AM576" s="122"/>
      <c r="AN576" s="122"/>
      <c r="AO576" s="12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</row>
    <row r="577" spans="1:52" ht="15.75" customHeight="1">
      <c r="A577" s="122"/>
      <c r="B577" s="122"/>
      <c r="C577" s="122"/>
      <c r="D577" s="123"/>
      <c r="E577" s="123"/>
      <c r="F577" s="122"/>
      <c r="G577" s="122"/>
      <c r="H577" s="124"/>
      <c r="I577" s="122"/>
      <c r="J577" s="122"/>
      <c r="K577" s="122"/>
      <c r="L577" s="125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6"/>
      <c r="AE577" s="122"/>
      <c r="AF577" s="126"/>
      <c r="AG577" s="122"/>
      <c r="AH577" s="126"/>
      <c r="AI577" s="122"/>
      <c r="AJ577" s="32"/>
      <c r="AK577" s="122"/>
      <c r="AL577" s="32"/>
      <c r="AM577" s="122"/>
      <c r="AN577" s="122"/>
      <c r="AO577" s="12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</row>
    <row r="578" spans="1:52" ht="15.75" customHeight="1">
      <c r="A578" s="122"/>
      <c r="B578" s="122"/>
      <c r="C578" s="122"/>
      <c r="D578" s="123"/>
      <c r="E578" s="123"/>
      <c r="F578" s="122"/>
      <c r="G578" s="122"/>
      <c r="H578" s="124"/>
      <c r="I578" s="122"/>
      <c r="J578" s="122"/>
      <c r="K578" s="122"/>
      <c r="L578" s="125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6"/>
      <c r="AE578" s="122"/>
      <c r="AF578" s="126"/>
      <c r="AG578" s="122"/>
      <c r="AH578" s="126"/>
      <c r="AI578" s="122"/>
      <c r="AJ578" s="32"/>
      <c r="AK578" s="122"/>
      <c r="AL578" s="32"/>
      <c r="AM578" s="122"/>
      <c r="AN578" s="122"/>
      <c r="AO578" s="12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</row>
    <row r="579" spans="1:52" ht="15.75" customHeight="1">
      <c r="A579" s="122"/>
      <c r="B579" s="122"/>
      <c r="C579" s="122"/>
      <c r="D579" s="123"/>
      <c r="E579" s="123"/>
      <c r="F579" s="122"/>
      <c r="G579" s="122"/>
      <c r="H579" s="124"/>
      <c r="I579" s="122"/>
      <c r="J579" s="122"/>
      <c r="K579" s="122"/>
      <c r="L579" s="125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6"/>
      <c r="AE579" s="122"/>
      <c r="AF579" s="126"/>
      <c r="AG579" s="122"/>
      <c r="AH579" s="126"/>
      <c r="AI579" s="122"/>
      <c r="AJ579" s="32"/>
      <c r="AK579" s="122"/>
      <c r="AL579" s="32"/>
      <c r="AM579" s="122"/>
      <c r="AN579" s="122"/>
      <c r="AO579" s="12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</row>
    <row r="580" spans="1:52" ht="15.75" customHeight="1">
      <c r="A580" s="122"/>
      <c r="B580" s="122"/>
      <c r="C580" s="122"/>
      <c r="D580" s="123"/>
      <c r="E580" s="123"/>
      <c r="F580" s="122"/>
      <c r="G580" s="122"/>
      <c r="H580" s="124"/>
      <c r="I580" s="122"/>
      <c r="J580" s="122"/>
      <c r="K580" s="122"/>
      <c r="L580" s="125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6"/>
      <c r="AE580" s="122"/>
      <c r="AF580" s="126"/>
      <c r="AG580" s="122"/>
      <c r="AH580" s="126"/>
      <c r="AI580" s="122"/>
      <c r="AJ580" s="32"/>
      <c r="AK580" s="122"/>
      <c r="AL580" s="32"/>
      <c r="AM580" s="122"/>
      <c r="AN580" s="122"/>
      <c r="AO580" s="12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</row>
    <row r="581" spans="1:52" ht="15.75" customHeight="1">
      <c r="A581" s="122"/>
      <c r="B581" s="122"/>
      <c r="C581" s="122"/>
      <c r="D581" s="123"/>
      <c r="E581" s="123"/>
      <c r="F581" s="122"/>
      <c r="G581" s="122"/>
      <c r="H581" s="124"/>
      <c r="I581" s="122"/>
      <c r="J581" s="122"/>
      <c r="K581" s="122"/>
      <c r="L581" s="125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6"/>
      <c r="AE581" s="122"/>
      <c r="AF581" s="126"/>
      <c r="AG581" s="122"/>
      <c r="AH581" s="126"/>
      <c r="AI581" s="122"/>
      <c r="AJ581" s="32"/>
      <c r="AK581" s="122"/>
      <c r="AL581" s="32"/>
      <c r="AM581" s="122"/>
      <c r="AN581" s="122"/>
      <c r="AO581" s="12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</row>
    <row r="582" spans="1:52" ht="15.75" customHeight="1">
      <c r="A582" s="122"/>
      <c r="B582" s="122"/>
      <c r="C582" s="122"/>
      <c r="D582" s="123"/>
      <c r="E582" s="123"/>
      <c r="F582" s="122"/>
      <c r="G582" s="122"/>
      <c r="H582" s="124"/>
      <c r="I582" s="122"/>
      <c r="J582" s="122"/>
      <c r="K582" s="122"/>
      <c r="L582" s="125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6"/>
      <c r="AE582" s="122"/>
      <c r="AF582" s="126"/>
      <c r="AG582" s="122"/>
      <c r="AH582" s="126"/>
      <c r="AI582" s="122"/>
      <c r="AJ582" s="32"/>
      <c r="AK582" s="122"/>
      <c r="AL582" s="32"/>
      <c r="AM582" s="122"/>
      <c r="AN582" s="122"/>
      <c r="AO582" s="12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</row>
    <row r="583" spans="1:52" ht="15.75" customHeight="1">
      <c r="A583" s="122"/>
      <c r="B583" s="122"/>
      <c r="C583" s="122"/>
      <c r="D583" s="123"/>
      <c r="E583" s="123"/>
      <c r="F583" s="122"/>
      <c r="G583" s="122"/>
      <c r="H583" s="124"/>
      <c r="I583" s="122"/>
      <c r="J583" s="122"/>
      <c r="K583" s="122"/>
      <c r="L583" s="125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6"/>
      <c r="AE583" s="122"/>
      <c r="AF583" s="126"/>
      <c r="AG583" s="122"/>
      <c r="AH583" s="126"/>
      <c r="AI583" s="122"/>
      <c r="AJ583" s="32"/>
      <c r="AK583" s="122"/>
      <c r="AL583" s="32"/>
      <c r="AM583" s="122"/>
      <c r="AN583" s="122"/>
      <c r="AO583" s="12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</row>
    <row r="584" spans="1:52" ht="15.75" customHeight="1">
      <c r="A584" s="122"/>
      <c r="B584" s="122"/>
      <c r="C584" s="122"/>
      <c r="D584" s="123"/>
      <c r="E584" s="123"/>
      <c r="F584" s="122"/>
      <c r="G584" s="122"/>
      <c r="H584" s="124"/>
      <c r="I584" s="122"/>
      <c r="J584" s="122"/>
      <c r="K584" s="122"/>
      <c r="L584" s="125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6"/>
      <c r="AE584" s="122"/>
      <c r="AF584" s="126"/>
      <c r="AG584" s="122"/>
      <c r="AH584" s="126"/>
      <c r="AI584" s="122"/>
      <c r="AJ584" s="32"/>
      <c r="AK584" s="122"/>
      <c r="AL584" s="32"/>
      <c r="AM584" s="122"/>
      <c r="AN584" s="122"/>
      <c r="AO584" s="12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</row>
    <row r="585" spans="1:52" ht="15.75" customHeight="1">
      <c r="A585" s="122"/>
      <c r="B585" s="122"/>
      <c r="C585" s="122"/>
      <c r="D585" s="123"/>
      <c r="E585" s="123"/>
      <c r="F585" s="122"/>
      <c r="G585" s="122"/>
      <c r="H585" s="124"/>
      <c r="I585" s="122"/>
      <c r="J585" s="122"/>
      <c r="K585" s="122"/>
      <c r="L585" s="125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6"/>
      <c r="AE585" s="122"/>
      <c r="AF585" s="126"/>
      <c r="AG585" s="122"/>
      <c r="AH585" s="126"/>
      <c r="AI585" s="122"/>
      <c r="AJ585" s="32"/>
      <c r="AK585" s="122"/>
      <c r="AL585" s="32"/>
      <c r="AM585" s="122"/>
      <c r="AN585" s="122"/>
      <c r="AO585" s="12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</row>
    <row r="586" spans="1:52" ht="15.75" customHeight="1">
      <c r="A586" s="122"/>
      <c r="B586" s="122"/>
      <c r="C586" s="122"/>
      <c r="D586" s="123"/>
      <c r="E586" s="123"/>
      <c r="F586" s="122"/>
      <c r="G586" s="122"/>
      <c r="H586" s="124"/>
      <c r="I586" s="122"/>
      <c r="J586" s="122"/>
      <c r="K586" s="122"/>
      <c r="L586" s="125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6"/>
      <c r="AE586" s="122"/>
      <c r="AF586" s="126"/>
      <c r="AG586" s="122"/>
      <c r="AH586" s="126"/>
      <c r="AI586" s="122"/>
      <c r="AJ586" s="32"/>
      <c r="AK586" s="122"/>
      <c r="AL586" s="32"/>
      <c r="AM586" s="122"/>
      <c r="AN586" s="122"/>
      <c r="AO586" s="12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</row>
    <row r="587" spans="1:52" ht="15.75" customHeight="1">
      <c r="A587" s="122"/>
      <c r="B587" s="122"/>
      <c r="C587" s="122"/>
      <c r="D587" s="123"/>
      <c r="E587" s="123"/>
      <c r="F587" s="122"/>
      <c r="G587" s="122"/>
      <c r="H587" s="124"/>
      <c r="I587" s="122"/>
      <c r="J587" s="122"/>
      <c r="K587" s="122"/>
      <c r="L587" s="125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6"/>
      <c r="AE587" s="122"/>
      <c r="AF587" s="126"/>
      <c r="AG587" s="122"/>
      <c r="AH587" s="126"/>
      <c r="AI587" s="122"/>
      <c r="AJ587" s="32"/>
      <c r="AK587" s="122"/>
      <c r="AL587" s="32"/>
      <c r="AM587" s="122"/>
      <c r="AN587" s="122"/>
      <c r="AO587" s="12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</row>
    <row r="588" spans="1:52" ht="15.75" customHeight="1">
      <c r="A588" s="122"/>
      <c r="B588" s="122"/>
      <c r="C588" s="122"/>
      <c r="D588" s="123"/>
      <c r="E588" s="123"/>
      <c r="F588" s="122"/>
      <c r="G588" s="122"/>
      <c r="H588" s="124"/>
      <c r="I588" s="122"/>
      <c r="J588" s="122"/>
      <c r="K588" s="122"/>
      <c r="L588" s="125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6"/>
      <c r="AE588" s="122"/>
      <c r="AF588" s="126"/>
      <c r="AG588" s="122"/>
      <c r="AH588" s="126"/>
      <c r="AI588" s="122"/>
      <c r="AJ588" s="32"/>
      <c r="AK588" s="122"/>
      <c r="AL588" s="32"/>
      <c r="AM588" s="122"/>
      <c r="AN588" s="122"/>
      <c r="AO588" s="12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</row>
    <row r="589" spans="1:52" ht="15.75" customHeight="1">
      <c r="A589" s="122"/>
      <c r="B589" s="122"/>
      <c r="C589" s="122"/>
      <c r="D589" s="123"/>
      <c r="E589" s="123"/>
      <c r="F589" s="122"/>
      <c r="G589" s="122"/>
      <c r="H589" s="124"/>
      <c r="I589" s="122"/>
      <c r="J589" s="122"/>
      <c r="K589" s="122"/>
      <c r="L589" s="125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6"/>
      <c r="AE589" s="122"/>
      <c r="AF589" s="126"/>
      <c r="AG589" s="122"/>
      <c r="AH589" s="126"/>
      <c r="AI589" s="122"/>
      <c r="AJ589" s="32"/>
      <c r="AK589" s="122"/>
      <c r="AL589" s="32"/>
      <c r="AM589" s="122"/>
      <c r="AN589" s="122"/>
      <c r="AO589" s="12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</row>
    <row r="590" spans="1:52" ht="15.75" customHeight="1">
      <c r="A590" s="122"/>
      <c r="B590" s="122"/>
      <c r="C590" s="122"/>
      <c r="D590" s="123"/>
      <c r="E590" s="123"/>
      <c r="F590" s="122"/>
      <c r="G590" s="122"/>
      <c r="H590" s="124"/>
      <c r="I590" s="122"/>
      <c r="J590" s="122"/>
      <c r="K590" s="122"/>
      <c r="L590" s="125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6"/>
      <c r="AE590" s="122"/>
      <c r="AF590" s="126"/>
      <c r="AG590" s="122"/>
      <c r="AH590" s="126"/>
      <c r="AI590" s="122"/>
      <c r="AJ590" s="32"/>
      <c r="AK590" s="122"/>
      <c r="AL590" s="32"/>
      <c r="AM590" s="122"/>
      <c r="AN590" s="122"/>
      <c r="AO590" s="12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</row>
    <row r="591" spans="1:52" ht="15.75" customHeight="1">
      <c r="A591" s="122"/>
      <c r="B591" s="122"/>
      <c r="C591" s="122"/>
      <c r="D591" s="123"/>
      <c r="E591" s="123"/>
      <c r="F591" s="122"/>
      <c r="G591" s="122"/>
      <c r="H591" s="124"/>
      <c r="I591" s="122"/>
      <c r="J591" s="122"/>
      <c r="K591" s="122"/>
      <c r="L591" s="125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6"/>
      <c r="AE591" s="122"/>
      <c r="AF591" s="126"/>
      <c r="AG591" s="122"/>
      <c r="AH591" s="126"/>
      <c r="AI591" s="122"/>
      <c r="AJ591" s="32"/>
      <c r="AK591" s="122"/>
      <c r="AL591" s="32"/>
      <c r="AM591" s="122"/>
      <c r="AN591" s="122"/>
      <c r="AO591" s="12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</row>
    <row r="592" spans="1:52" ht="15.75" customHeight="1">
      <c r="A592" s="122"/>
      <c r="B592" s="122"/>
      <c r="C592" s="122"/>
      <c r="D592" s="123"/>
      <c r="E592" s="123"/>
      <c r="F592" s="122"/>
      <c r="G592" s="122"/>
      <c r="H592" s="124"/>
      <c r="I592" s="122"/>
      <c r="J592" s="122"/>
      <c r="K592" s="122"/>
      <c r="L592" s="125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6"/>
      <c r="AE592" s="122"/>
      <c r="AF592" s="126"/>
      <c r="AG592" s="122"/>
      <c r="AH592" s="126"/>
      <c r="AI592" s="122"/>
      <c r="AJ592" s="32"/>
      <c r="AK592" s="122"/>
      <c r="AL592" s="32"/>
      <c r="AM592" s="122"/>
      <c r="AN592" s="122"/>
      <c r="AO592" s="12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</row>
    <row r="593" spans="1:52" ht="15.75" customHeight="1">
      <c r="A593" s="122"/>
      <c r="B593" s="122"/>
      <c r="C593" s="122"/>
      <c r="D593" s="123"/>
      <c r="E593" s="123"/>
      <c r="F593" s="122"/>
      <c r="G593" s="122"/>
      <c r="H593" s="124"/>
      <c r="I593" s="122"/>
      <c r="J593" s="122"/>
      <c r="K593" s="122"/>
      <c r="L593" s="125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6"/>
      <c r="AE593" s="122"/>
      <c r="AF593" s="126"/>
      <c r="AG593" s="122"/>
      <c r="AH593" s="126"/>
      <c r="AI593" s="122"/>
      <c r="AJ593" s="32"/>
      <c r="AK593" s="122"/>
      <c r="AL593" s="32"/>
      <c r="AM593" s="122"/>
      <c r="AN593" s="122"/>
      <c r="AO593" s="12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</row>
    <row r="594" spans="1:52" ht="15.75" customHeight="1">
      <c r="A594" s="122"/>
      <c r="B594" s="122"/>
      <c r="C594" s="122"/>
      <c r="D594" s="123"/>
      <c r="E594" s="123"/>
      <c r="F594" s="122"/>
      <c r="G594" s="122"/>
      <c r="H594" s="124"/>
      <c r="I594" s="122"/>
      <c r="J594" s="122"/>
      <c r="K594" s="122"/>
      <c r="L594" s="125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6"/>
      <c r="AE594" s="122"/>
      <c r="AF594" s="126"/>
      <c r="AG594" s="122"/>
      <c r="AH594" s="126"/>
      <c r="AI594" s="122"/>
      <c r="AJ594" s="32"/>
      <c r="AK594" s="122"/>
      <c r="AL594" s="32"/>
      <c r="AM594" s="122"/>
      <c r="AN594" s="122"/>
      <c r="AO594" s="12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</row>
    <row r="595" spans="1:52" ht="15.75" customHeight="1">
      <c r="A595" s="122"/>
      <c r="B595" s="122"/>
      <c r="C595" s="122"/>
      <c r="D595" s="123"/>
      <c r="E595" s="123"/>
      <c r="F595" s="122"/>
      <c r="G595" s="122"/>
      <c r="H595" s="124"/>
      <c r="I595" s="122"/>
      <c r="J595" s="122"/>
      <c r="K595" s="122"/>
      <c r="L595" s="125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6"/>
      <c r="AE595" s="122"/>
      <c r="AF595" s="126"/>
      <c r="AG595" s="122"/>
      <c r="AH595" s="126"/>
      <c r="AI595" s="122"/>
      <c r="AJ595" s="32"/>
      <c r="AK595" s="122"/>
      <c r="AL595" s="32"/>
      <c r="AM595" s="122"/>
      <c r="AN595" s="122"/>
      <c r="AO595" s="12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</row>
    <row r="596" spans="1:52" ht="15.75" customHeight="1">
      <c r="A596" s="122"/>
      <c r="B596" s="122"/>
      <c r="C596" s="122"/>
      <c r="D596" s="123"/>
      <c r="E596" s="123"/>
      <c r="F596" s="122"/>
      <c r="G596" s="122"/>
      <c r="H596" s="124"/>
      <c r="I596" s="122"/>
      <c r="J596" s="122"/>
      <c r="K596" s="122"/>
      <c r="L596" s="125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6"/>
      <c r="AE596" s="122"/>
      <c r="AF596" s="126"/>
      <c r="AG596" s="122"/>
      <c r="AH596" s="126"/>
      <c r="AI596" s="122"/>
      <c r="AJ596" s="32"/>
      <c r="AK596" s="122"/>
      <c r="AL596" s="32"/>
      <c r="AM596" s="122"/>
      <c r="AN596" s="122"/>
      <c r="AO596" s="12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</row>
    <row r="597" spans="1:52" ht="15.75" customHeight="1">
      <c r="A597" s="122"/>
      <c r="B597" s="122"/>
      <c r="C597" s="122"/>
      <c r="D597" s="123"/>
      <c r="E597" s="123"/>
      <c r="F597" s="122"/>
      <c r="G597" s="122"/>
      <c r="H597" s="124"/>
      <c r="I597" s="122"/>
      <c r="J597" s="122"/>
      <c r="K597" s="122"/>
      <c r="L597" s="125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6"/>
      <c r="AE597" s="122"/>
      <c r="AF597" s="126"/>
      <c r="AG597" s="122"/>
      <c r="AH597" s="126"/>
      <c r="AI597" s="122"/>
      <c r="AJ597" s="32"/>
      <c r="AK597" s="122"/>
      <c r="AL597" s="32"/>
      <c r="AM597" s="122"/>
      <c r="AN597" s="122"/>
      <c r="AO597" s="12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</row>
    <row r="598" spans="1:52" ht="15.75" customHeight="1">
      <c r="A598" s="122"/>
      <c r="B598" s="122"/>
      <c r="C598" s="122"/>
      <c r="D598" s="123"/>
      <c r="E598" s="123"/>
      <c r="F598" s="122"/>
      <c r="G598" s="122"/>
      <c r="H598" s="124"/>
      <c r="I598" s="122"/>
      <c r="J598" s="122"/>
      <c r="K598" s="122"/>
      <c r="L598" s="125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6"/>
      <c r="AE598" s="122"/>
      <c r="AF598" s="126"/>
      <c r="AG598" s="122"/>
      <c r="AH598" s="126"/>
      <c r="AI598" s="122"/>
      <c r="AJ598" s="32"/>
      <c r="AK598" s="122"/>
      <c r="AL598" s="32"/>
      <c r="AM598" s="122"/>
      <c r="AN598" s="122"/>
      <c r="AO598" s="12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</row>
    <row r="599" spans="1:52" ht="15.75" customHeight="1">
      <c r="A599" s="122"/>
      <c r="B599" s="122"/>
      <c r="C599" s="122"/>
      <c r="D599" s="123"/>
      <c r="E599" s="123"/>
      <c r="F599" s="122"/>
      <c r="G599" s="122"/>
      <c r="H599" s="124"/>
      <c r="I599" s="122"/>
      <c r="J599" s="122"/>
      <c r="K599" s="122"/>
      <c r="L599" s="125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6"/>
      <c r="AE599" s="122"/>
      <c r="AF599" s="126"/>
      <c r="AG599" s="122"/>
      <c r="AH599" s="126"/>
      <c r="AI599" s="122"/>
      <c r="AJ599" s="32"/>
      <c r="AK599" s="122"/>
      <c r="AL599" s="32"/>
      <c r="AM599" s="122"/>
      <c r="AN599" s="122"/>
      <c r="AO599" s="12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</row>
    <row r="600" spans="1:52" ht="15.75" customHeight="1">
      <c r="A600" s="122"/>
      <c r="B600" s="122"/>
      <c r="C600" s="122"/>
      <c r="D600" s="123"/>
      <c r="E600" s="123"/>
      <c r="F600" s="122"/>
      <c r="G600" s="122"/>
      <c r="H600" s="124"/>
      <c r="I600" s="122"/>
      <c r="J600" s="122"/>
      <c r="K600" s="122"/>
      <c r="L600" s="125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6"/>
      <c r="AE600" s="122"/>
      <c r="AF600" s="126"/>
      <c r="AG600" s="122"/>
      <c r="AH600" s="126"/>
      <c r="AI600" s="122"/>
      <c r="AJ600" s="32"/>
      <c r="AK600" s="122"/>
      <c r="AL600" s="32"/>
      <c r="AM600" s="122"/>
      <c r="AN600" s="122"/>
      <c r="AO600" s="12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</row>
    <row r="601" spans="1:52" ht="15.75" customHeight="1">
      <c r="A601" s="122"/>
      <c r="B601" s="122"/>
      <c r="C601" s="122"/>
      <c r="D601" s="123"/>
      <c r="E601" s="123"/>
      <c r="F601" s="122"/>
      <c r="G601" s="122"/>
      <c r="H601" s="124"/>
      <c r="I601" s="122"/>
      <c r="J601" s="122"/>
      <c r="K601" s="122"/>
      <c r="L601" s="125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6"/>
      <c r="AE601" s="122"/>
      <c r="AF601" s="126"/>
      <c r="AG601" s="122"/>
      <c r="AH601" s="126"/>
      <c r="AI601" s="122"/>
      <c r="AJ601" s="32"/>
      <c r="AK601" s="122"/>
      <c r="AL601" s="32"/>
      <c r="AM601" s="122"/>
      <c r="AN601" s="122"/>
      <c r="AO601" s="12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</row>
    <row r="602" spans="1:52" ht="15.75" customHeight="1">
      <c r="A602" s="122"/>
      <c r="B602" s="122"/>
      <c r="C602" s="122"/>
      <c r="D602" s="123"/>
      <c r="E602" s="123"/>
      <c r="F602" s="122"/>
      <c r="G602" s="122"/>
      <c r="H602" s="124"/>
      <c r="I602" s="122"/>
      <c r="J602" s="122"/>
      <c r="K602" s="122"/>
      <c r="L602" s="125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6"/>
      <c r="AE602" s="122"/>
      <c r="AF602" s="126"/>
      <c r="AG602" s="122"/>
      <c r="AH602" s="126"/>
      <c r="AI602" s="122"/>
      <c r="AJ602" s="32"/>
      <c r="AK602" s="122"/>
      <c r="AL602" s="32"/>
      <c r="AM602" s="122"/>
      <c r="AN602" s="122"/>
      <c r="AO602" s="12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</row>
    <row r="603" spans="1:52" ht="15.75" customHeight="1">
      <c r="A603" s="122"/>
      <c r="B603" s="122"/>
      <c r="C603" s="122"/>
      <c r="D603" s="123"/>
      <c r="E603" s="123"/>
      <c r="F603" s="122"/>
      <c r="G603" s="122"/>
      <c r="H603" s="124"/>
      <c r="I603" s="122"/>
      <c r="J603" s="122"/>
      <c r="K603" s="122"/>
      <c r="L603" s="125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6"/>
      <c r="AE603" s="122"/>
      <c r="AF603" s="126"/>
      <c r="AG603" s="122"/>
      <c r="AH603" s="126"/>
      <c r="AI603" s="122"/>
      <c r="AJ603" s="32"/>
      <c r="AK603" s="122"/>
      <c r="AL603" s="32"/>
      <c r="AM603" s="122"/>
      <c r="AN603" s="122"/>
      <c r="AO603" s="12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</row>
    <row r="604" spans="1:52" ht="15.75" customHeight="1">
      <c r="A604" s="122"/>
      <c r="B604" s="122"/>
      <c r="C604" s="122"/>
      <c r="D604" s="123"/>
      <c r="E604" s="123"/>
      <c r="F604" s="122"/>
      <c r="G604" s="122"/>
      <c r="H604" s="124"/>
      <c r="I604" s="122"/>
      <c r="J604" s="122"/>
      <c r="K604" s="122"/>
      <c r="L604" s="125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6"/>
      <c r="AE604" s="122"/>
      <c r="AF604" s="126"/>
      <c r="AG604" s="122"/>
      <c r="AH604" s="126"/>
      <c r="AI604" s="122"/>
      <c r="AJ604" s="32"/>
      <c r="AK604" s="122"/>
      <c r="AL604" s="32"/>
      <c r="AM604" s="122"/>
      <c r="AN604" s="122"/>
      <c r="AO604" s="12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</row>
    <row r="605" spans="1:52" ht="15.75" customHeight="1">
      <c r="A605" s="122"/>
      <c r="B605" s="122"/>
      <c r="C605" s="122"/>
      <c r="D605" s="123"/>
      <c r="E605" s="123"/>
      <c r="F605" s="122"/>
      <c r="G605" s="122"/>
      <c r="H605" s="124"/>
      <c r="I605" s="122"/>
      <c r="J605" s="122"/>
      <c r="K605" s="122"/>
      <c r="L605" s="125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6"/>
      <c r="AE605" s="122"/>
      <c r="AF605" s="126"/>
      <c r="AG605" s="122"/>
      <c r="AH605" s="126"/>
      <c r="AI605" s="122"/>
      <c r="AJ605" s="32"/>
      <c r="AK605" s="122"/>
      <c r="AL605" s="32"/>
      <c r="AM605" s="122"/>
      <c r="AN605" s="122"/>
      <c r="AO605" s="12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</row>
    <row r="606" spans="1:52" ht="15.75" customHeight="1">
      <c r="A606" s="122"/>
      <c r="B606" s="122"/>
      <c r="C606" s="122"/>
      <c r="D606" s="123"/>
      <c r="E606" s="123"/>
      <c r="F606" s="122"/>
      <c r="G606" s="122"/>
      <c r="H606" s="124"/>
      <c r="I606" s="122"/>
      <c r="J606" s="122"/>
      <c r="K606" s="122"/>
      <c r="L606" s="125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6"/>
      <c r="AE606" s="122"/>
      <c r="AF606" s="126"/>
      <c r="AG606" s="122"/>
      <c r="AH606" s="126"/>
      <c r="AI606" s="122"/>
      <c r="AJ606" s="32"/>
      <c r="AK606" s="122"/>
      <c r="AL606" s="32"/>
      <c r="AM606" s="122"/>
      <c r="AN606" s="122"/>
      <c r="AO606" s="12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</row>
    <row r="607" spans="1:52" ht="15.75" customHeight="1">
      <c r="A607" s="122"/>
      <c r="B607" s="122"/>
      <c r="C607" s="122"/>
      <c r="D607" s="123"/>
      <c r="E607" s="123"/>
      <c r="F607" s="122"/>
      <c r="G607" s="122"/>
      <c r="H607" s="124"/>
      <c r="I607" s="122"/>
      <c r="J607" s="122"/>
      <c r="K607" s="122"/>
      <c r="L607" s="125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6"/>
      <c r="AE607" s="122"/>
      <c r="AF607" s="126"/>
      <c r="AG607" s="122"/>
      <c r="AH607" s="126"/>
      <c r="AI607" s="122"/>
      <c r="AJ607" s="32"/>
      <c r="AK607" s="122"/>
      <c r="AL607" s="32"/>
      <c r="AM607" s="122"/>
      <c r="AN607" s="122"/>
      <c r="AO607" s="12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</row>
    <row r="608" spans="1:52" ht="15.75" customHeight="1">
      <c r="A608" s="122"/>
      <c r="B608" s="122"/>
      <c r="C608" s="122"/>
      <c r="D608" s="123"/>
      <c r="E608" s="123"/>
      <c r="F608" s="122"/>
      <c r="G608" s="122"/>
      <c r="H608" s="124"/>
      <c r="I608" s="122"/>
      <c r="J608" s="122"/>
      <c r="K608" s="122"/>
      <c r="L608" s="125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6"/>
      <c r="AE608" s="122"/>
      <c r="AF608" s="126"/>
      <c r="AG608" s="122"/>
      <c r="AH608" s="126"/>
      <c r="AI608" s="122"/>
      <c r="AJ608" s="32"/>
      <c r="AK608" s="122"/>
      <c r="AL608" s="32"/>
      <c r="AM608" s="122"/>
      <c r="AN608" s="122"/>
      <c r="AO608" s="12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</row>
    <row r="609" spans="1:52" ht="15.75" customHeight="1">
      <c r="A609" s="122"/>
      <c r="B609" s="122"/>
      <c r="C609" s="122"/>
      <c r="D609" s="123"/>
      <c r="E609" s="123"/>
      <c r="F609" s="122"/>
      <c r="G609" s="122"/>
      <c r="H609" s="124"/>
      <c r="I609" s="122"/>
      <c r="J609" s="122"/>
      <c r="K609" s="122"/>
      <c r="L609" s="125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6"/>
      <c r="AE609" s="122"/>
      <c r="AF609" s="126"/>
      <c r="AG609" s="122"/>
      <c r="AH609" s="126"/>
      <c r="AI609" s="122"/>
      <c r="AJ609" s="32"/>
      <c r="AK609" s="122"/>
      <c r="AL609" s="32"/>
      <c r="AM609" s="122"/>
      <c r="AN609" s="122"/>
      <c r="AO609" s="12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</row>
    <row r="610" spans="1:52" ht="15.75" customHeight="1">
      <c r="A610" s="122"/>
      <c r="B610" s="122"/>
      <c r="C610" s="122"/>
      <c r="D610" s="123"/>
      <c r="E610" s="123"/>
      <c r="F610" s="122"/>
      <c r="G610" s="122"/>
      <c r="H610" s="124"/>
      <c r="I610" s="122"/>
      <c r="J610" s="122"/>
      <c r="K610" s="122"/>
      <c r="L610" s="125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6"/>
      <c r="AE610" s="122"/>
      <c r="AF610" s="126"/>
      <c r="AG610" s="122"/>
      <c r="AH610" s="126"/>
      <c r="AI610" s="122"/>
      <c r="AJ610" s="32"/>
      <c r="AK610" s="122"/>
      <c r="AL610" s="32"/>
      <c r="AM610" s="122"/>
      <c r="AN610" s="122"/>
      <c r="AO610" s="12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</row>
    <row r="611" spans="1:52" ht="15.75" customHeight="1">
      <c r="A611" s="122"/>
      <c r="B611" s="122"/>
      <c r="C611" s="122"/>
      <c r="D611" s="123"/>
      <c r="E611" s="123"/>
      <c r="F611" s="122"/>
      <c r="G611" s="122"/>
      <c r="H611" s="124"/>
      <c r="I611" s="122"/>
      <c r="J611" s="122"/>
      <c r="K611" s="122"/>
      <c r="L611" s="125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6"/>
      <c r="AE611" s="122"/>
      <c r="AF611" s="126"/>
      <c r="AG611" s="122"/>
      <c r="AH611" s="126"/>
      <c r="AI611" s="122"/>
      <c r="AJ611" s="32"/>
      <c r="AK611" s="122"/>
      <c r="AL611" s="32"/>
      <c r="AM611" s="122"/>
      <c r="AN611" s="122"/>
      <c r="AO611" s="12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</row>
    <row r="612" spans="1:52" ht="15.75" customHeight="1">
      <c r="A612" s="122"/>
      <c r="B612" s="122"/>
      <c r="C612" s="122"/>
      <c r="D612" s="123"/>
      <c r="E612" s="123"/>
      <c r="F612" s="122"/>
      <c r="G612" s="122"/>
      <c r="H612" s="124"/>
      <c r="I612" s="122"/>
      <c r="J612" s="122"/>
      <c r="K612" s="122"/>
      <c r="L612" s="125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6"/>
      <c r="AE612" s="122"/>
      <c r="AF612" s="126"/>
      <c r="AG612" s="122"/>
      <c r="AH612" s="126"/>
      <c r="AI612" s="122"/>
      <c r="AJ612" s="32"/>
      <c r="AK612" s="122"/>
      <c r="AL612" s="32"/>
      <c r="AM612" s="122"/>
      <c r="AN612" s="122"/>
      <c r="AO612" s="12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</row>
    <row r="613" spans="1:52" ht="15.75" customHeight="1">
      <c r="A613" s="122"/>
      <c r="B613" s="122"/>
      <c r="C613" s="122"/>
      <c r="D613" s="123"/>
      <c r="E613" s="123"/>
      <c r="F613" s="122"/>
      <c r="G613" s="122"/>
      <c r="H613" s="124"/>
      <c r="I613" s="122"/>
      <c r="J613" s="122"/>
      <c r="K613" s="122"/>
      <c r="L613" s="125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6"/>
      <c r="AE613" s="122"/>
      <c r="AF613" s="126"/>
      <c r="AG613" s="122"/>
      <c r="AH613" s="126"/>
      <c r="AI613" s="122"/>
      <c r="AJ613" s="32"/>
      <c r="AK613" s="122"/>
      <c r="AL613" s="32"/>
      <c r="AM613" s="122"/>
      <c r="AN613" s="122"/>
      <c r="AO613" s="12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</row>
    <row r="614" spans="1:52" ht="15.75" customHeight="1">
      <c r="A614" s="122"/>
      <c r="B614" s="122"/>
      <c r="C614" s="122"/>
      <c r="D614" s="123"/>
      <c r="E614" s="123"/>
      <c r="F614" s="122"/>
      <c r="G614" s="122"/>
      <c r="H614" s="124"/>
      <c r="I614" s="122"/>
      <c r="J614" s="122"/>
      <c r="K614" s="122"/>
      <c r="L614" s="125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6"/>
      <c r="AE614" s="122"/>
      <c r="AF614" s="126"/>
      <c r="AG614" s="122"/>
      <c r="AH614" s="126"/>
      <c r="AI614" s="122"/>
      <c r="AJ614" s="32"/>
      <c r="AK614" s="122"/>
      <c r="AL614" s="32"/>
      <c r="AM614" s="122"/>
      <c r="AN614" s="122"/>
      <c r="AO614" s="12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</row>
    <row r="615" spans="1:52" ht="15.75" customHeight="1">
      <c r="A615" s="122"/>
      <c r="B615" s="122"/>
      <c r="C615" s="122"/>
      <c r="D615" s="123"/>
      <c r="E615" s="123"/>
      <c r="F615" s="122"/>
      <c r="G615" s="122"/>
      <c r="H615" s="124"/>
      <c r="I615" s="122"/>
      <c r="J615" s="122"/>
      <c r="K615" s="122"/>
      <c r="L615" s="125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6"/>
      <c r="AE615" s="122"/>
      <c r="AF615" s="126"/>
      <c r="AG615" s="122"/>
      <c r="AH615" s="126"/>
      <c r="AI615" s="122"/>
      <c r="AJ615" s="32"/>
      <c r="AK615" s="122"/>
      <c r="AL615" s="32"/>
      <c r="AM615" s="122"/>
      <c r="AN615" s="122"/>
      <c r="AO615" s="12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</row>
    <row r="616" spans="1:52" ht="15.75" customHeight="1">
      <c r="A616" s="122"/>
      <c r="B616" s="122"/>
      <c r="C616" s="122"/>
      <c r="D616" s="123"/>
      <c r="E616" s="123"/>
      <c r="F616" s="122"/>
      <c r="G616" s="122"/>
      <c r="H616" s="124"/>
      <c r="I616" s="122"/>
      <c r="J616" s="122"/>
      <c r="K616" s="122"/>
      <c r="L616" s="125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6"/>
      <c r="AE616" s="122"/>
      <c r="AF616" s="126"/>
      <c r="AG616" s="122"/>
      <c r="AH616" s="126"/>
      <c r="AI616" s="122"/>
      <c r="AJ616" s="32"/>
      <c r="AK616" s="122"/>
      <c r="AL616" s="32"/>
      <c r="AM616" s="122"/>
      <c r="AN616" s="122"/>
      <c r="AO616" s="12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</row>
    <row r="617" spans="1:52" ht="15.75" customHeight="1">
      <c r="A617" s="122"/>
      <c r="B617" s="122"/>
      <c r="C617" s="122"/>
      <c r="D617" s="123"/>
      <c r="E617" s="123"/>
      <c r="F617" s="122"/>
      <c r="G617" s="122"/>
      <c r="H617" s="124"/>
      <c r="I617" s="122"/>
      <c r="J617" s="122"/>
      <c r="K617" s="122"/>
      <c r="L617" s="125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6"/>
      <c r="AE617" s="122"/>
      <c r="AF617" s="126"/>
      <c r="AG617" s="122"/>
      <c r="AH617" s="126"/>
      <c r="AI617" s="122"/>
      <c r="AJ617" s="32"/>
      <c r="AK617" s="122"/>
      <c r="AL617" s="32"/>
      <c r="AM617" s="122"/>
      <c r="AN617" s="122"/>
      <c r="AO617" s="12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</row>
    <row r="618" spans="1:52" ht="15.75" customHeight="1">
      <c r="A618" s="122"/>
      <c r="B618" s="122"/>
      <c r="C618" s="122"/>
      <c r="D618" s="123"/>
      <c r="E618" s="123"/>
      <c r="F618" s="122"/>
      <c r="G618" s="122"/>
      <c r="H618" s="124"/>
      <c r="I618" s="122"/>
      <c r="J618" s="122"/>
      <c r="K618" s="122"/>
      <c r="L618" s="125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6"/>
      <c r="AE618" s="122"/>
      <c r="AF618" s="126"/>
      <c r="AG618" s="122"/>
      <c r="AH618" s="126"/>
      <c r="AI618" s="122"/>
      <c r="AJ618" s="32"/>
      <c r="AK618" s="122"/>
      <c r="AL618" s="32"/>
      <c r="AM618" s="122"/>
      <c r="AN618" s="122"/>
      <c r="AO618" s="12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</row>
    <row r="619" spans="1:52" ht="15.75" customHeight="1">
      <c r="A619" s="122"/>
      <c r="B619" s="122"/>
      <c r="C619" s="122"/>
      <c r="D619" s="123"/>
      <c r="E619" s="123"/>
      <c r="F619" s="122"/>
      <c r="G619" s="122"/>
      <c r="H619" s="124"/>
      <c r="I619" s="122"/>
      <c r="J619" s="122"/>
      <c r="K619" s="122"/>
      <c r="L619" s="125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6"/>
      <c r="AE619" s="122"/>
      <c r="AF619" s="126"/>
      <c r="AG619" s="122"/>
      <c r="AH619" s="126"/>
      <c r="AI619" s="122"/>
      <c r="AJ619" s="32"/>
      <c r="AK619" s="122"/>
      <c r="AL619" s="32"/>
      <c r="AM619" s="122"/>
      <c r="AN619" s="122"/>
      <c r="AO619" s="12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</row>
    <row r="620" spans="1:52" ht="15.75" customHeight="1">
      <c r="A620" s="122"/>
      <c r="B620" s="122"/>
      <c r="C620" s="122"/>
      <c r="D620" s="123"/>
      <c r="E620" s="123"/>
      <c r="F620" s="122"/>
      <c r="G620" s="122"/>
      <c r="H620" s="124"/>
      <c r="I620" s="122"/>
      <c r="J620" s="122"/>
      <c r="K620" s="122"/>
      <c r="L620" s="125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6"/>
      <c r="AE620" s="122"/>
      <c r="AF620" s="126"/>
      <c r="AG620" s="122"/>
      <c r="AH620" s="126"/>
      <c r="AI620" s="122"/>
      <c r="AJ620" s="32"/>
      <c r="AK620" s="122"/>
      <c r="AL620" s="32"/>
      <c r="AM620" s="122"/>
      <c r="AN620" s="122"/>
      <c r="AO620" s="12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</row>
    <row r="621" spans="1:52" ht="15.75" customHeight="1">
      <c r="A621" s="122"/>
      <c r="B621" s="122"/>
      <c r="C621" s="122"/>
      <c r="D621" s="123"/>
      <c r="E621" s="123"/>
      <c r="F621" s="122"/>
      <c r="G621" s="122"/>
      <c r="H621" s="124"/>
      <c r="I621" s="122"/>
      <c r="J621" s="122"/>
      <c r="K621" s="122"/>
      <c r="L621" s="125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6"/>
      <c r="AE621" s="122"/>
      <c r="AF621" s="126"/>
      <c r="AG621" s="122"/>
      <c r="AH621" s="126"/>
      <c r="AI621" s="122"/>
      <c r="AJ621" s="32"/>
      <c r="AK621" s="122"/>
      <c r="AL621" s="32"/>
      <c r="AM621" s="122"/>
      <c r="AN621" s="122"/>
      <c r="AO621" s="12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</row>
    <row r="622" spans="1:52" ht="15.75" customHeight="1">
      <c r="A622" s="122"/>
      <c r="B622" s="122"/>
      <c r="C622" s="122"/>
      <c r="D622" s="123"/>
      <c r="E622" s="123"/>
      <c r="F622" s="122"/>
      <c r="G622" s="122"/>
      <c r="H622" s="124"/>
      <c r="I622" s="122"/>
      <c r="J622" s="122"/>
      <c r="K622" s="122"/>
      <c r="L622" s="125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6"/>
      <c r="AE622" s="122"/>
      <c r="AF622" s="126"/>
      <c r="AG622" s="122"/>
      <c r="AH622" s="126"/>
      <c r="AI622" s="122"/>
      <c r="AJ622" s="32"/>
      <c r="AK622" s="122"/>
      <c r="AL622" s="32"/>
      <c r="AM622" s="122"/>
      <c r="AN622" s="122"/>
      <c r="AO622" s="12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</row>
    <row r="623" spans="1:52" ht="15.75" customHeight="1">
      <c r="A623" s="122"/>
      <c r="B623" s="122"/>
      <c r="C623" s="122"/>
      <c r="D623" s="123"/>
      <c r="E623" s="123"/>
      <c r="F623" s="122"/>
      <c r="G623" s="122"/>
      <c r="H623" s="124"/>
      <c r="I623" s="122"/>
      <c r="J623" s="122"/>
      <c r="K623" s="122"/>
      <c r="L623" s="125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6"/>
      <c r="AE623" s="122"/>
      <c r="AF623" s="126"/>
      <c r="AG623" s="122"/>
      <c r="AH623" s="126"/>
      <c r="AI623" s="122"/>
      <c r="AJ623" s="32"/>
      <c r="AK623" s="122"/>
      <c r="AL623" s="32"/>
      <c r="AM623" s="122"/>
      <c r="AN623" s="122"/>
      <c r="AO623" s="12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</row>
    <row r="624" spans="1:52" ht="15.75" customHeight="1">
      <c r="A624" s="122"/>
      <c r="B624" s="122"/>
      <c r="C624" s="122"/>
      <c r="D624" s="123"/>
      <c r="E624" s="123"/>
      <c r="F624" s="122"/>
      <c r="G624" s="122"/>
      <c r="H624" s="124"/>
      <c r="I624" s="122"/>
      <c r="J624" s="122"/>
      <c r="K624" s="122"/>
      <c r="L624" s="125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6"/>
      <c r="AE624" s="122"/>
      <c r="AF624" s="126"/>
      <c r="AG624" s="122"/>
      <c r="AH624" s="126"/>
      <c r="AI624" s="122"/>
      <c r="AJ624" s="32"/>
      <c r="AK624" s="122"/>
      <c r="AL624" s="32"/>
      <c r="AM624" s="122"/>
      <c r="AN624" s="122"/>
      <c r="AO624" s="12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</row>
    <row r="625" spans="1:52" ht="15.75" customHeight="1">
      <c r="A625" s="122"/>
      <c r="B625" s="122"/>
      <c r="C625" s="122"/>
      <c r="D625" s="123"/>
      <c r="E625" s="123"/>
      <c r="F625" s="122"/>
      <c r="G625" s="122"/>
      <c r="H625" s="124"/>
      <c r="I625" s="122"/>
      <c r="J625" s="122"/>
      <c r="K625" s="122"/>
      <c r="L625" s="125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6"/>
      <c r="AE625" s="122"/>
      <c r="AF625" s="126"/>
      <c r="AG625" s="122"/>
      <c r="AH625" s="126"/>
      <c r="AI625" s="122"/>
      <c r="AJ625" s="32"/>
      <c r="AK625" s="122"/>
      <c r="AL625" s="32"/>
      <c r="AM625" s="122"/>
      <c r="AN625" s="122"/>
      <c r="AO625" s="12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</row>
    <row r="626" spans="1:52" ht="15.75" customHeight="1">
      <c r="A626" s="122"/>
      <c r="B626" s="122"/>
      <c r="C626" s="122"/>
      <c r="D626" s="123"/>
      <c r="E626" s="123"/>
      <c r="F626" s="122"/>
      <c r="G626" s="122"/>
      <c r="H626" s="124"/>
      <c r="I626" s="122"/>
      <c r="J626" s="122"/>
      <c r="K626" s="122"/>
      <c r="L626" s="125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6"/>
      <c r="AE626" s="122"/>
      <c r="AF626" s="126"/>
      <c r="AG626" s="122"/>
      <c r="AH626" s="126"/>
      <c r="AI626" s="122"/>
      <c r="AJ626" s="32"/>
      <c r="AK626" s="122"/>
      <c r="AL626" s="32"/>
      <c r="AM626" s="122"/>
      <c r="AN626" s="122"/>
      <c r="AO626" s="12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</row>
    <row r="627" spans="1:52" ht="15.75" customHeight="1">
      <c r="A627" s="122"/>
      <c r="B627" s="122"/>
      <c r="C627" s="122"/>
      <c r="D627" s="123"/>
      <c r="E627" s="123"/>
      <c r="F627" s="122"/>
      <c r="G627" s="122"/>
      <c r="H627" s="124"/>
      <c r="I627" s="122"/>
      <c r="J627" s="122"/>
      <c r="K627" s="122"/>
      <c r="L627" s="125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6"/>
      <c r="AE627" s="122"/>
      <c r="AF627" s="126"/>
      <c r="AG627" s="122"/>
      <c r="AH627" s="126"/>
      <c r="AI627" s="122"/>
      <c r="AJ627" s="32"/>
      <c r="AK627" s="122"/>
      <c r="AL627" s="32"/>
      <c r="AM627" s="122"/>
      <c r="AN627" s="122"/>
      <c r="AO627" s="12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</row>
    <row r="628" spans="1:52" ht="15.75" customHeight="1">
      <c r="A628" s="122"/>
      <c r="B628" s="122"/>
      <c r="C628" s="122"/>
      <c r="D628" s="123"/>
      <c r="E628" s="123"/>
      <c r="F628" s="122"/>
      <c r="G628" s="122"/>
      <c r="H628" s="124"/>
      <c r="I628" s="122"/>
      <c r="J628" s="122"/>
      <c r="K628" s="122"/>
      <c r="L628" s="125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6"/>
      <c r="AE628" s="122"/>
      <c r="AF628" s="126"/>
      <c r="AG628" s="122"/>
      <c r="AH628" s="126"/>
      <c r="AI628" s="122"/>
      <c r="AJ628" s="32"/>
      <c r="AK628" s="122"/>
      <c r="AL628" s="32"/>
      <c r="AM628" s="122"/>
      <c r="AN628" s="122"/>
      <c r="AO628" s="12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</row>
    <row r="629" spans="1:52" ht="15.75" customHeight="1">
      <c r="A629" s="122"/>
      <c r="B629" s="122"/>
      <c r="C629" s="122"/>
      <c r="D629" s="123"/>
      <c r="E629" s="123"/>
      <c r="F629" s="122"/>
      <c r="G629" s="122"/>
      <c r="H629" s="124"/>
      <c r="I629" s="122"/>
      <c r="J629" s="122"/>
      <c r="K629" s="122"/>
      <c r="L629" s="125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6"/>
      <c r="AE629" s="122"/>
      <c r="AF629" s="126"/>
      <c r="AG629" s="122"/>
      <c r="AH629" s="126"/>
      <c r="AI629" s="122"/>
      <c r="AJ629" s="32"/>
      <c r="AK629" s="122"/>
      <c r="AL629" s="32"/>
      <c r="AM629" s="122"/>
      <c r="AN629" s="122"/>
      <c r="AO629" s="12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</row>
    <row r="630" spans="1:52" ht="15.75" customHeight="1">
      <c r="A630" s="122"/>
      <c r="B630" s="122"/>
      <c r="C630" s="122"/>
      <c r="D630" s="123"/>
      <c r="E630" s="123"/>
      <c r="F630" s="122"/>
      <c r="G630" s="122"/>
      <c r="H630" s="124"/>
      <c r="I630" s="122"/>
      <c r="J630" s="122"/>
      <c r="K630" s="122"/>
      <c r="L630" s="125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6"/>
      <c r="AE630" s="122"/>
      <c r="AF630" s="126"/>
      <c r="AG630" s="122"/>
      <c r="AH630" s="126"/>
      <c r="AI630" s="122"/>
      <c r="AJ630" s="32"/>
      <c r="AK630" s="122"/>
      <c r="AL630" s="32"/>
      <c r="AM630" s="122"/>
      <c r="AN630" s="122"/>
      <c r="AO630" s="12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</row>
    <row r="631" spans="1:52" ht="15.75" customHeight="1">
      <c r="A631" s="122"/>
      <c r="B631" s="122"/>
      <c r="C631" s="122"/>
      <c r="D631" s="123"/>
      <c r="E631" s="123"/>
      <c r="F631" s="122"/>
      <c r="G631" s="122"/>
      <c r="H631" s="124"/>
      <c r="I631" s="122"/>
      <c r="J631" s="122"/>
      <c r="K631" s="122"/>
      <c r="L631" s="125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6"/>
      <c r="AE631" s="122"/>
      <c r="AF631" s="126"/>
      <c r="AG631" s="122"/>
      <c r="AH631" s="126"/>
      <c r="AI631" s="122"/>
      <c r="AJ631" s="32"/>
      <c r="AK631" s="122"/>
      <c r="AL631" s="32"/>
      <c r="AM631" s="122"/>
      <c r="AN631" s="122"/>
      <c r="AO631" s="12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</row>
    <row r="632" spans="1:52" ht="15.75" customHeight="1">
      <c r="A632" s="122"/>
      <c r="B632" s="122"/>
      <c r="C632" s="122"/>
      <c r="D632" s="123"/>
      <c r="E632" s="123"/>
      <c r="F632" s="122"/>
      <c r="G632" s="122"/>
      <c r="H632" s="124"/>
      <c r="I632" s="122"/>
      <c r="J632" s="122"/>
      <c r="K632" s="122"/>
      <c r="L632" s="125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6"/>
      <c r="AE632" s="122"/>
      <c r="AF632" s="126"/>
      <c r="AG632" s="122"/>
      <c r="AH632" s="126"/>
      <c r="AI632" s="122"/>
      <c r="AJ632" s="32"/>
      <c r="AK632" s="122"/>
      <c r="AL632" s="32"/>
      <c r="AM632" s="122"/>
      <c r="AN632" s="122"/>
      <c r="AO632" s="12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</row>
    <row r="633" spans="1:52" ht="15.75" customHeight="1">
      <c r="A633" s="122"/>
      <c r="B633" s="122"/>
      <c r="C633" s="122"/>
      <c r="D633" s="123"/>
      <c r="E633" s="123"/>
      <c r="F633" s="122"/>
      <c r="G633" s="122"/>
      <c r="H633" s="124"/>
      <c r="I633" s="122"/>
      <c r="J633" s="122"/>
      <c r="K633" s="122"/>
      <c r="L633" s="125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6"/>
      <c r="AE633" s="122"/>
      <c r="AF633" s="126"/>
      <c r="AG633" s="122"/>
      <c r="AH633" s="126"/>
      <c r="AI633" s="122"/>
      <c r="AJ633" s="32"/>
      <c r="AK633" s="122"/>
      <c r="AL633" s="32"/>
      <c r="AM633" s="122"/>
      <c r="AN633" s="122"/>
      <c r="AO633" s="12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</row>
    <row r="634" spans="1:52" ht="15.75" customHeight="1">
      <c r="A634" s="122"/>
      <c r="B634" s="122"/>
      <c r="C634" s="122"/>
      <c r="D634" s="123"/>
      <c r="E634" s="123"/>
      <c r="F634" s="122"/>
      <c r="G634" s="122"/>
      <c r="H634" s="124"/>
      <c r="I634" s="122"/>
      <c r="J634" s="122"/>
      <c r="K634" s="122"/>
      <c r="L634" s="125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6"/>
      <c r="AE634" s="122"/>
      <c r="AF634" s="126"/>
      <c r="AG634" s="122"/>
      <c r="AH634" s="126"/>
      <c r="AI634" s="122"/>
      <c r="AJ634" s="32"/>
      <c r="AK634" s="122"/>
      <c r="AL634" s="32"/>
      <c r="AM634" s="122"/>
      <c r="AN634" s="122"/>
      <c r="AO634" s="12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</row>
    <row r="635" spans="1:52" ht="15.75" customHeight="1">
      <c r="A635" s="122"/>
      <c r="B635" s="122"/>
      <c r="C635" s="122"/>
      <c r="D635" s="123"/>
      <c r="E635" s="123"/>
      <c r="F635" s="122"/>
      <c r="G635" s="122"/>
      <c r="H635" s="124"/>
      <c r="I635" s="122"/>
      <c r="J635" s="122"/>
      <c r="K635" s="122"/>
      <c r="L635" s="125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6"/>
      <c r="AE635" s="122"/>
      <c r="AF635" s="126"/>
      <c r="AG635" s="122"/>
      <c r="AH635" s="126"/>
      <c r="AI635" s="122"/>
      <c r="AJ635" s="32"/>
      <c r="AK635" s="122"/>
      <c r="AL635" s="32"/>
      <c r="AM635" s="122"/>
      <c r="AN635" s="122"/>
      <c r="AO635" s="12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</row>
    <row r="636" spans="1:52" ht="15.75" customHeight="1">
      <c r="A636" s="122"/>
      <c r="B636" s="122"/>
      <c r="C636" s="122"/>
      <c r="D636" s="123"/>
      <c r="E636" s="123"/>
      <c r="F636" s="122"/>
      <c r="G636" s="122"/>
      <c r="H636" s="124"/>
      <c r="I636" s="122"/>
      <c r="J636" s="122"/>
      <c r="K636" s="122"/>
      <c r="L636" s="125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6"/>
      <c r="AE636" s="122"/>
      <c r="AF636" s="126"/>
      <c r="AG636" s="122"/>
      <c r="AH636" s="126"/>
      <c r="AI636" s="122"/>
      <c r="AJ636" s="32"/>
      <c r="AK636" s="122"/>
      <c r="AL636" s="32"/>
      <c r="AM636" s="122"/>
      <c r="AN636" s="122"/>
      <c r="AO636" s="12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</row>
    <row r="637" spans="1:52" ht="15.75" customHeight="1">
      <c r="A637" s="122"/>
      <c r="B637" s="122"/>
      <c r="C637" s="122"/>
      <c r="D637" s="123"/>
      <c r="E637" s="123"/>
      <c r="F637" s="122"/>
      <c r="G637" s="122"/>
      <c r="H637" s="124"/>
      <c r="I637" s="122"/>
      <c r="J637" s="122"/>
      <c r="K637" s="122"/>
      <c r="L637" s="125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6"/>
      <c r="AE637" s="122"/>
      <c r="AF637" s="126"/>
      <c r="AG637" s="122"/>
      <c r="AH637" s="126"/>
      <c r="AI637" s="122"/>
      <c r="AJ637" s="32"/>
      <c r="AK637" s="122"/>
      <c r="AL637" s="32"/>
      <c r="AM637" s="122"/>
      <c r="AN637" s="122"/>
      <c r="AO637" s="12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</row>
    <row r="638" spans="1:52" ht="15.75" customHeight="1">
      <c r="A638" s="122"/>
      <c r="B638" s="122"/>
      <c r="C638" s="122"/>
      <c r="D638" s="123"/>
      <c r="E638" s="123"/>
      <c r="F638" s="122"/>
      <c r="G638" s="122"/>
      <c r="H638" s="124"/>
      <c r="I638" s="122"/>
      <c r="J638" s="122"/>
      <c r="K638" s="122"/>
      <c r="L638" s="125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6"/>
      <c r="AE638" s="122"/>
      <c r="AF638" s="126"/>
      <c r="AG638" s="122"/>
      <c r="AH638" s="126"/>
      <c r="AI638" s="122"/>
      <c r="AJ638" s="32"/>
      <c r="AK638" s="122"/>
      <c r="AL638" s="32"/>
      <c r="AM638" s="122"/>
      <c r="AN638" s="122"/>
      <c r="AO638" s="12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</row>
    <row r="639" spans="1:52" ht="15.75" customHeight="1">
      <c r="A639" s="122"/>
      <c r="B639" s="122"/>
      <c r="C639" s="122"/>
      <c r="D639" s="123"/>
      <c r="E639" s="123"/>
      <c r="F639" s="122"/>
      <c r="G639" s="122"/>
      <c r="H639" s="124"/>
      <c r="I639" s="122"/>
      <c r="J639" s="122"/>
      <c r="K639" s="122"/>
      <c r="L639" s="125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6"/>
      <c r="AE639" s="122"/>
      <c r="AF639" s="126"/>
      <c r="AG639" s="122"/>
      <c r="AH639" s="126"/>
      <c r="AI639" s="122"/>
      <c r="AJ639" s="32"/>
      <c r="AK639" s="122"/>
      <c r="AL639" s="32"/>
      <c r="AM639" s="122"/>
      <c r="AN639" s="122"/>
      <c r="AO639" s="12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</row>
    <row r="640" spans="1:52" ht="15.75" customHeight="1">
      <c r="A640" s="122"/>
      <c r="B640" s="122"/>
      <c r="C640" s="122"/>
      <c r="D640" s="123"/>
      <c r="E640" s="123"/>
      <c r="F640" s="122"/>
      <c r="G640" s="122"/>
      <c r="H640" s="124"/>
      <c r="I640" s="122"/>
      <c r="J640" s="122"/>
      <c r="K640" s="122"/>
      <c r="L640" s="125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6"/>
      <c r="AE640" s="122"/>
      <c r="AF640" s="126"/>
      <c r="AG640" s="122"/>
      <c r="AH640" s="126"/>
      <c r="AI640" s="122"/>
      <c r="AJ640" s="32"/>
      <c r="AK640" s="122"/>
      <c r="AL640" s="32"/>
      <c r="AM640" s="122"/>
      <c r="AN640" s="122"/>
      <c r="AO640" s="12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</row>
    <row r="641" spans="1:52" ht="15.75" customHeight="1">
      <c r="A641" s="122"/>
      <c r="B641" s="122"/>
      <c r="C641" s="122"/>
      <c r="D641" s="123"/>
      <c r="E641" s="123"/>
      <c r="F641" s="122"/>
      <c r="G641" s="122"/>
      <c r="H641" s="124"/>
      <c r="I641" s="122"/>
      <c r="J641" s="122"/>
      <c r="K641" s="122"/>
      <c r="L641" s="125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6"/>
      <c r="AE641" s="122"/>
      <c r="AF641" s="126"/>
      <c r="AG641" s="122"/>
      <c r="AH641" s="126"/>
      <c r="AI641" s="122"/>
      <c r="AJ641" s="32"/>
      <c r="AK641" s="122"/>
      <c r="AL641" s="32"/>
      <c r="AM641" s="122"/>
      <c r="AN641" s="122"/>
      <c r="AO641" s="12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</row>
    <row r="642" spans="1:52" ht="15.75" customHeight="1">
      <c r="A642" s="122"/>
      <c r="B642" s="122"/>
      <c r="C642" s="122"/>
      <c r="D642" s="123"/>
      <c r="E642" s="123"/>
      <c r="F642" s="122"/>
      <c r="G642" s="122"/>
      <c r="H642" s="124"/>
      <c r="I642" s="122"/>
      <c r="J642" s="122"/>
      <c r="K642" s="122"/>
      <c r="L642" s="125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6"/>
      <c r="AE642" s="122"/>
      <c r="AF642" s="126"/>
      <c r="AG642" s="122"/>
      <c r="AH642" s="126"/>
      <c r="AI642" s="122"/>
      <c r="AJ642" s="32"/>
      <c r="AK642" s="122"/>
      <c r="AL642" s="32"/>
      <c r="AM642" s="122"/>
      <c r="AN642" s="122"/>
      <c r="AO642" s="12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</row>
    <row r="643" spans="1:52" ht="15.75" customHeight="1">
      <c r="A643" s="122"/>
      <c r="B643" s="122"/>
      <c r="C643" s="122"/>
      <c r="D643" s="123"/>
      <c r="E643" s="123"/>
      <c r="F643" s="122"/>
      <c r="G643" s="122"/>
      <c r="H643" s="124"/>
      <c r="I643" s="122"/>
      <c r="J643" s="122"/>
      <c r="K643" s="122"/>
      <c r="L643" s="125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6"/>
      <c r="AE643" s="122"/>
      <c r="AF643" s="126"/>
      <c r="AG643" s="122"/>
      <c r="AH643" s="126"/>
      <c r="AI643" s="122"/>
      <c r="AJ643" s="32"/>
      <c r="AK643" s="122"/>
      <c r="AL643" s="32"/>
      <c r="AM643" s="122"/>
      <c r="AN643" s="122"/>
      <c r="AO643" s="12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</row>
    <row r="644" spans="1:52" ht="15.75" customHeight="1">
      <c r="A644" s="122"/>
      <c r="B644" s="122"/>
      <c r="C644" s="122"/>
      <c r="D644" s="123"/>
      <c r="E644" s="123"/>
      <c r="F644" s="122"/>
      <c r="G644" s="122"/>
      <c r="H644" s="124"/>
      <c r="I644" s="122"/>
      <c r="J644" s="122"/>
      <c r="K644" s="122"/>
      <c r="L644" s="125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6"/>
      <c r="AE644" s="122"/>
      <c r="AF644" s="126"/>
      <c r="AG644" s="122"/>
      <c r="AH644" s="126"/>
      <c r="AI644" s="122"/>
      <c r="AJ644" s="32"/>
      <c r="AK644" s="122"/>
      <c r="AL644" s="32"/>
      <c r="AM644" s="122"/>
      <c r="AN644" s="122"/>
      <c r="AO644" s="12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</row>
    <row r="645" spans="1:52" ht="15.75" customHeight="1">
      <c r="A645" s="122"/>
      <c r="B645" s="122"/>
      <c r="C645" s="122"/>
      <c r="D645" s="123"/>
      <c r="E645" s="123"/>
      <c r="F645" s="122"/>
      <c r="G645" s="122"/>
      <c r="H645" s="124"/>
      <c r="I645" s="122"/>
      <c r="J645" s="122"/>
      <c r="K645" s="122"/>
      <c r="L645" s="125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6"/>
      <c r="AE645" s="122"/>
      <c r="AF645" s="126"/>
      <c r="AG645" s="122"/>
      <c r="AH645" s="126"/>
      <c r="AI645" s="122"/>
      <c r="AJ645" s="32"/>
      <c r="AK645" s="122"/>
      <c r="AL645" s="32"/>
      <c r="AM645" s="122"/>
      <c r="AN645" s="122"/>
      <c r="AO645" s="12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</row>
    <row r="646" spans="1:52" ht="15.75" customHeight="1">
      <c r="A646" s="122"/>
      <c r="B646" s="122"/>
      <c r="C646" s="122"/>
      <c r="D646" s="123"/>
      <c r="E646" s="123"/>
      <c r="F646" s="122"/>
      <c r="G646" s="122"/>
      <c r="H646" s="124"/>
      <c r="I646" s="122"/>
      <c r="J646" s="122"/>
      <c r="K646" s="122"/>
      <c r="L646" s="125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6"/>
      <c r="AE646" s="122"/>
      <c r="AF646" s="126"/>
      <c r="AG646" s="122"/>
      <c r="AH646" s="126"/>
      <c r="AI646" s="122"/>
      <c r="AJ646" s="32"/>
      <c r="AK646" s="122"/>
      <c r="AL646" s="32"/>
      <c r="AM646" s="122"/>
      <c r="AN646" s="122"/>
      <c r="AO646" s="12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</row>
    <row r="647" spans="1:52" ht="15.75" customHeight="1">
      <c r="A647" s="122"/>
      <c r="B647" s="122"/>
      <c r="C647" s="122"/>
      <c r="D647" s="123"/>
      <c r="E647" s="123"/>
      <c r="F647" s="122"/>
      <c r="G647" s="122"/>
      <c r="H647" s="124"/>
      <c r="I647" s="122"/>
      <c r="J647" s="122"/>
      <c r="K647" s="122"/>
      <c r="L647" s="125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6"/>
      <c r="AE647" s="122"/>
      <c r="AF647" s="126"/>
      <c r="AG647" s="122"/>
      <c r="AH647" s="126"/>
      <c r="AI647" s="122"/>
      <c r="AJ647" s="32"/>
      <c r="AK647" s="122"/>
      <c r="AL647" s="32"/>
      <c r="AM647" s="122"/>
      <c r="AN647" s="122"/>
      <c r="AO647" s="12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</row>
    <row r="648" spans="1:52" ht="15.75" customHeight="1">
      <c r="A648" s="122"/>
      <c r="B648" s="122"/>
      <c r="C648" s="122"/>
      <c r="D648" s="123"/>
      <c r="E648" s="123"/>
      <c r="F648" s="122"/>
      <c r="G648" s="122"/>
      <c r="H648" s="124"/>
      <c r="I648" s="122"/>
      <c r="J648" s="122"/>
      <c r="K648" s="122"/>
      <c r="L648" s="125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6"/>
      <c r="AE648" s="122"/>
      <c r="AF648" s="126"/>
      <c r="AG648" s="122"/>
      <c r="AH648" s="126"/>
      <c r="AI648" s="122"/>
      <c r="AJ648" s="32"/>
      <c r="AK648" s="122"/>
      <c r="AL648" s="32"/>
      <c r="AM648" s="122"/>
      <c r="AN648" s="122"/>
      <c r="AO648" s="12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</row>
    <row r="649" spans="1:52" ht="15.75" customHeight="1">
      <c r="A649" s="122"/>
      <c r="B649" s="122"/>
      <c r="C649" s="122"/>
      <c r="D649" s="123"/>
      <c r="E649" s="123"/>
      <c r="F649" s="122"/>
      <c r="G649" s="122"/>
      <c r="H649" s="124"/>
      <c r="I649" s="122"/>
      <c r="J649" s="122"/>
      <c r="K649" s="122"/>
      <c r="L649" s="125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6"/>
      <c r="AE649" s="122"/>
      <c r="AF649" s="126"/>
      <c r="AG649" s="122"/>
      <c r="AH649" s="126"/>
      <c r="AI649" s="122"/>
      <c r="AJ649" s="32"/>
      <c r="AK649" s="122"/>
      <c r="AL649" s="32"/>
      <c r="AM649" s="122"/>
      <c r="AN649" s="122"/>
      <c r="AO649" s="12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</row>
    <row r="650" spans="1:52" ht="15.75" customHeight="1">
      <c r="A650" s="122"/>
      <c r="B650" s="122"/>
      <c r="C650" s="122"/>
      <c r="D650" s="123"/>
      <c r="E650" s="123"/>
      <c r="F650" s="122"/>
      <c r="G650" s="122"/>
      <c r="H650" s="124"/>
      <c r="I650" s="122"/>
      <c r="J650" s="122"/>
      <c r="K650" s="122"/>
      <c r="L650" s="125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6"/>
      <c r="AE650" s="122"/>
      <c r="AF650" s="126"/>
      <c r="AG650" s="122"/>
      <c r="AH650" s="126"/>
      <c r="AI650" s="122"/>
      <c r="AJ650" s="32"/>
      <c r="AK650" s="122"/>
      <c r="AL650" s="32"/>
      <c r="AM650" s="122"/>
      <c r="AN650" s="122"/>
      <c r="AO650" s="12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</row>
    <row r="651" spans="1:52" ht="15.75" customHeight="1">
      <c r="A651" s="122"/>
      <c r="B651" s="122"/>
      <c r="C651" s="122"/>
      <c r="D651" s="123"/>
      <c r="E651" s="123"/>
      <c r="F651" s="122"/>
      <c r="G651" s="122"/>
      <c r="H651" s="124"/>
      <c r="I651" s="122"/>
      <c r="J651" s="122"/>
      <c r="K651" s="122"/>
      <c r="L651" s="125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6"/>
      <c r="AE651" s="122"/>
      <c r="AF651" s="126"/>
      <c r="AG651" s="122"/>
      <c r="AH651" s="126"/>
      <c r="AI651" s="122"/>
      <c r="AJ651" s="32"/>
      <c r="AK651" s="122"/>
      <c r="AL651" s="32"/>
      <c r="AM651" s="122"/>
      <c r="AN651" s="122"/>
      <c r="AO651" s="12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</row>
    <row r="652" spans="1:52" ht="15.75" customHeight="1">
      <c r="A652" s="122"/>
      <c r="B652" s="122"/>
      <c r="C652" s="122"/>
      <c r="D652" s="123"/>
      <c r="E652" s="123"/>
      <c r="F652" s="122"/>
      <c r="G652" s="122"/>
      <c r="H652" s="124"/>
      <c r="I652" s="122"/>
      <c r="J652" s="122"/>
      <c r="K652" s="122"/>
      <c r="L652" s="125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6"/>
      <c r="AE652" s="122"/>
      <c r="AF652" s="126"/>
      <c r="AG652" s="122"/>
      <c r="AH652" s="126"/>
      <c r="AI652" s="122"/>
      <c r="AJ652" s="32"/>
      <c r="AK652" s="122"/>
      <c r="AL652" s="32"/>
      <c r="AM652" s="122"/>
      <c r="AN652" s="122"/>
      <c r="AO652" s="12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</row>
    <row r="653" spans="1:52" ht="15.75" customHeight="1">
      <c r="A653" s="122"/>
      <c r="B653" s="122"/>
      <c r="C653" s="122"/>
      <c r="D653" s="123"/>
      <c r="E653" s="123"/>
      <c r="F653" s="122"/>
      <c r="G653" s="122"/>
      <c r="H653" s="124"/>
      <c r="I653" s="122"/>
      <c r="J653" s="122"/>
      <c r="K653" s="122"/>
      <c r="L653" s="125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6"/>
      <c r="AE653" s="122"/>
      <c r="AF653" s="126"/>
      <c r="AG653" s="122"/>
      <c r="AH653" s="126"/>
      <c r="AI653" s="122"/>
      <c r="AJ653" s="32"/>
      <c r="AK653" s="122"/>
      <c r="AL653" s="32"/>
      <c r="AM653" s="122"/>
      <c r="AN653" s="122"/>
      <c r="AO653" s="12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</row>
    <row r="654" spans="1:52" ht="15.75" customHeight="1">
      <c r="A654" s="122"/>
      <c r="B654" s="122"/>
      <c r="C654" s="122"/>
      <c r="D654" s="123"/>
      <c r="E654" s="123"/>
      <c r="F654" s="122"/>
      <c r="G654" s="122"/>
      <c r="H654" s="124"/>
      <c r="I654" s="122"/>
      <c r="J654" s="122"/>
      <c r="K654" s="122"/>
      <c r="L654" s="125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6"/>
      <c r="AE654" s="122"/>
      <c r="AF654" s="126"/>
      <c r="AG654" s="122"/>
      <c r="AH654" s="126"/>
      <c r="AI654" s="122"/>
      <c r="AJ654" s="32"/>
      <c r="AK654" s="122"/>
      <c r="AL654" s="32"/>
      <c r="AM654" s="122"/>
      <c r="AN654" s="122"/>
      <c r="AO654" s="12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</row>
    <row r="655" spans="1:52" ht="15.75" customHeight="1">
      <c r="A655" s="122"/>
      <c r="B655" s="122"/>
      <c r="C655" s="122"/>
      <c r="D655" s="123"/>
      <c r="E655" s="123"/>
      <c r="F655" s="122"/>
      <c r="G655" s="122"/>
      <c r="H655" s="124"/>
      <c r="I655" s="122"/>
      <c r="J655" s="122"/>
      <c r="K655" s="122"/>
      <c r="L655" s="125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6"/>
      <c r="AE655" s="122"/>
      <c r="AF655" s="126"/>
      <c r="AG655" s="122"/>
      <c r="AH655" s="126"/>
      <c r="AI655" s="122"/>
      <c r="AJ655" s="32"/>
      <c r="AK655" s="122"/>
      <c r="AL655" s="32"/>
      <c r="AM655" s="122"/>
      <c r="AN655" s="122"/>
      <c r="AO655" s="12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</row>
    <row r="656" spans="1:52" ht="15.75" customHeight="1">
      <c r="A656" s="122"/>
      <c r="B656" s="122"/>
      <c r="C656" s="122"/>
      <c r="D656" s="123"/>
      <c r="E656" s="123"/>
      <c r="F656" s="122"/>
      <c r="G656" s="122"/>
      <c r="H656" s="124"/>
      <c r="I656" s="122"/>
      <c r="J656" s="122"/>
      <c r="K656" s="122"/>
      <c r="L656" s="125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6"/>
      <c r="AE656" s="122"/>
      <c r="AF656" s="126"/>
      <c r="AG656" s="122"/>
      <c r="AH656" s="126"/>
      <c r="AI656" s="122"/>
      <c r="AJ656" s="32"/>
      <c r="AK656" s="122"/>
      <c r="AL656" s="32"/>
      <c r="AM656" s="122"/>
      <c r="AN656" s="122"/>
      <c r="AO656" s="12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</row>
    <row r="657" spans="1:52" ht="15.75" customHeight="1">
      <c r="A657" s="122"/>
      <c r="B657" s="122"/>
      <c r="C657" s="122"/>
      <c r="D657" s="123"/>
      <c r="E657" s="123"/>
      <c r="F657" s="122"/>
      <c r="G657" s="122"/>
      <c r="H657" s="124"/>
      <c r="I657" s="122"/>
      <c r="J657" s="122"/>
      <c r="K657" s="122"/>
      <c r="L657" s="125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6"/>
      <c r="AE657" s="122"/>
      <c r="AF657" s="126"/>
      <c r="AG657" s="122"/>
      <c r="AH657" s="126"/>
      <c r="AI657" s="122"/>
      <c r="AJ657" s="32"/>
      <c r="AK657" s="122"/>
      <c r="AL657" s="32"/>
      <c r="AM657" s="122"/>
      <c r="AN657" s="122"/>
      <c r="AO657" s="12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</row>
    <row r="658" spans="1:52" ht="15.75" customHeight="1">
      <c r="A658" s="122"/>
      <c r="B658" s="122"/>
      <c r="C658" s="122"/>
      <c r="D658" s="123"/>
      <c r="E658" s="123"/>
      <c r="F658" s="122"/>
      <c r="G658" s="122"/>
      <c r="H658" s="124"/>
      <c r="I658" s="122"/>
      <c r="J658" s="122"/>
      <c r="K658" s="122"/>
      <c r="L658" s="125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6"/>
      <c r="AE658" s="122"/>
      <c r="AF658" s="126"/>
      <c r="AG658" s="122"/>
      <c r="AH658" s="126"/>
      <c r="AI658" s="122"/>
      <c r="AJ658" s="32"/>
      <c r="AK658" s="122"/>
      <c r="AL658" s="32"/>
      <c r="AM658" s="122"/>
      <c r="AN658" s="122"/>
      <c r="AO658" s="12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</row>
    <row r="659" spans="1:52" ht="15.75" customHeight="1">
      <c r="A659" s="122"/>
      <c r="B659" s="122"/>
      <c r="C659" s="122"/>
      <c r="D659" s="123"/>
      <c r="E659" s="123"/>
      <c r="F659" s="122"/>
      <c r="G659" s="122"/>
      <c r="H659" s="124"/>
      <c r="I659" s="122"/>
      <c r="J659" s="122"/>
      <c r="K659" s="122"/>
      <c r="L659" s="125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6"/>
      <c r="AE659" s="122"/>
      <c r="AF659" s="126"/>
      <c r="AG659" s="122"/>
      <c r="AH659" s="126"/>
      <c r="AI659" s="122"/>
      <c r="AJ659" s="32"/>
      <c r="AK659" s="122"/>
      <c r="AL659" s="32"/>
      <c r="AM659" s="122"/>
      <c r="AN659" s="122"/>
      <c r="AO659" s="12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</row>
    <row r="660" spans="1:52" ht="15.75" customHeight="1">
      <c r="A660" s="122"/>
      <c r="B660" s="122"/>
      <c r="C660" s="122"/>
      <c r="D660" s="123"/>
      <c r="E660" s="123"/>
      <c r="F660" s="122"/>
      <c r="G660" s="122"/>
      <c r="H660" s="124"/>
      <c r="I660" s="122"/>
      <c r="J660" s="122"/>
      <c r="K660" s="122"/>
      <c r="L660" s="125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6"/>
      <c r="AE660" s="122"/>
      <c r="AF660" s="126"/>
      <c r="AG660" s="122"/>
      <c r="AH660" s="126"/>
      <c r="AI660" s="122"/>
      <c r="AJ660" s="32"/>
      <c r="AK660" s="122"/>
      <c r="AL660" s="32"/>
      <c r="AM660" s="122"/>
      <c r="AN660" s="122"/>
      <c r="AO660" s="12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</row>
    <row r="661" spans="1:52" ht="15.75" customHeight="1">
      <c r="A661" s="122"/>
      <c r="B661" s="122"/>
      <c r="C661" s="122"/>
      <c r="D661" s="123"/>
      <c r="E661" s="123"/>
      <c r="F661" s="122"/>
      <c r="G661" s="122"/>
      <c r="H661" s="124"/>
      <c r="I661" s="122"/>
      <c r="J661" s="122"/>
      <c r="K661" s="122"/>
      <c r="L661" s="125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6"/>
      <c r="AE661" s="122"/>
      <c r="AF661" s="126"/>
      <c r="AG661" s="122"/>
      <c r="AH661" s="126"/>
      <c r="AI661" s="122"/>
      <c r="AJ661" s="32"/>
      <c r="AK661" s="122"/>
      <c r="AL661" s="32"/>
      <c r="AM661" s="122"/>
      <c r="AN661" s="122"/>
      <c r="AO661" s="12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</row>
    <row r="662" spans="1:52" ht="15.75" customHeight="1">
      <c r="A662" s="122"/>
      <c r="B662" s="122"/>
      <c r="C662" s="122"/>
      <c r="D662" s="123"/>
      <c r="E662" s="123"/>
      <c r="F662" s="122"/>
      <c r="G662" s="122"/>
      <c r="H662" s="124"/>
      <c r="I662" s="122"/>
      <c r="J662" s="122"/>
      <c r="K662" s="122"/>
      <c r="L662" s="125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6"/>
      <c r="AE662" s="122"/>
      <c r="AF662" s="126"/>
      <c r="AG662" s="122"/>
      <c r="AH662" s="126"/>
      <c r="AI662" s="122"/>
      <c r="AJ662" s="32"/>
      <c r="AK662" s="122"/>
      <c r="AL662" s="32"/>
      <c r="AM662" s="122"/>
      <c r="AN662" s="122"/>
      <c r="AO662" s="12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</row>
    <row r="663" spans="1:52" ht="15.75" customHeight="1">
      <c r="A663" s="122"/>
      <c r="B663" s="122"/>
      <c r="C663" s="122"/>
      <c r="D663" s="123"/>
      <c r="E663" s="123"/>
      <c r="F663" s="122"/>
      <c r="G663" s="122"/>
      <c r="H663" s="124"/>
      <c r="I663" s="122"/>
      <c r="J663" s="122"/>
      <c r="K663" s="122"/>
      <c r="L663" s="125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6"/>
      <c r="AE663" s="122"/>
      <c r="AF663" s="126"/>
      <c r="AG663" s="122"/>
      <c r="AH663" s="126"/>
      <c r="AI663" s="122"/>
      <c r="AJ663" s="32"/>
      <c r="AK663" s="122"/>
      <c r="AL663" s="32"/>
      <c r="AM663" s="122"/>
      <c r="AN663" s="122"/>
      <c r="AO663" s="12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</row>
    <row r="664" spans="1:52" ht="15.75" customHeight="1">
      <c r="A664" s="122"/>
      <c r="B664" s="122"/>
      <c r="C664" s="122"/>
      <c r="D664" s="123"/>
      <c r="E664" s="123"/>
      <c r="F664" s="122"/>
      <c r="G664" s="122"/>
      <c r="H664" s="124"/>
      <c r="I664" s="122"/>
      <c r="J664" s="122"/>
      <c r="K664" s="122"/>
      <c r="L664" s="125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6"/>
      <c r="AE664" s="122"/>
      <c r="AF664" s="126"/>
      <c r="AG664" s="122"/>
      <c r="AH664" s="126"/>
      <c r="AI664" s="122"/>
      <c r="AJ664" s="32"/>
      <c r="AK664" s="122"/>
      <c r="AL664" s="32"/>
      <c r="AM664" s="122"/>
      <c r="AN664" s="122"/>
      <c r="AO664" s="12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</row>
    <row r="665" spans="1:52" ht="15.75" customHeight="1">
      <c r="A665" s="122"/>
      <c r="B665" s="122"/>
      <c r="C665" s="122"/>
      <c r="D665" s="123"/>
      <c r="E665" s="123"/>
      <c r="F665" s="122"/>
      <c r="G665" s="122"/>
      <c r="H665" s="124"/>
      <c r="I665" s="122"/>
      <c r="J665" s="122"/>
      <c r="K665" s="122"/>
      <c r="L665" s="125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6"/>
      <c r="AE665" s="122"/>
      <c r="AF665" s="126"/>
      <c r="AG665" s="122"/>
      <c r="AH665" s="126"/>
      <c r="AI665" s="122"/>
      <c r="AJ665" s="32"/>
      <c r="AK665" s="122"/>
      <c r="AL665" s="32"/>
      <c r="AM665" s="122"/>
      <c r="AN665" s="122"/>
      <c r="AO665" s="12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</row>
    <row r="666" spans="1:52" ht="15.75" customHeight="1">
      <c r="A666" s="122"/>
      <c r="B666" s="122"/>
      <c r="C666" s="122"/>
      <c r="D666" s="123"/>
      <c r="E666" s="123"/>
      <c r="F666" s="122"/>
      <c r="G666" s="122"/>
      <c r="H666" s="124"/>
      <c r="I666" s="122"/>
      <c r="J666" s="122"/>
      <c r="K666" s="122"/>
      <c r="L666" s="125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6"/>
      <c r="AE666" s="122"/>
      <c r="AF666" s="126"/>
      <c r="AG666" s="122"/>
      <c r="AH666" s="126"/>
      <c r="AI666" s="122"/>
      <c r="AJ666" s="32"/>
      <c r="AK666" s="122"/>
      <c r="AL666" s="32"/>
      <c r="AM666" s="122"/>
      <c r="AN666" s="122"/>
      <c r="AO666" s="12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</row>
    <row r="667" spans="1:52" ht="15.75" customHeight="1">
      <c r="A667" s="122"/>
      <c r="B667" s="122"/>
      <c r="C667" s="122"/>
      <c r="D667" s="123"/>
      <c r="E667" s="123"/>
      <c r="F667" s="122"/>
      <c r="G667" s="122"/>
      <c r="H667" s="124"/>
      <c r="I667" s="122"/>
      <c r="J667" s="122"/>
      <c r="K667" s="122"/>
      <c r="L667" s="125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6"/>
      <c r="AE667" s="122"/>
      <c r="AF667" s="126"/>
      <c r="AG667" s="122"/>
      <c r="AH667" s="126"/>
      <c r="AI667" s="122"/>
      <c r="AJ667" s="32"/>
      <c r="AK667" s="122"/>
      <c r="AL667" s="32"/>
      <c r="AM667" s="122"/>
      <c r="AN667" s="122"/>
      <c r="AO667" s="12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</row>
    <row r="668" spans="1:52" ht="15.75" customHeight="1">
      <c r="A668" s="122"/>
      <c r="B668" s="122"/>
      <c r="C668" s="122"/>
      <c r="D668" s="123"/>
      <c r="E668" s="123"/>
      <c r="F668" s="122"/>
      <c r="G668" s="122"/>
      <c r="H668" s="124"/>
      <c r="I668" s="122"/>
      <c r="J668" s="122"/>
      <c r="K668" s="122"/>
      <c r="L668" s="125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6"/>
      <c r="AE668" s="122"/>
      <c r="AF668" s="126"/>
      <c r="AG668" s="122"/>
      <c r="AH668" s="126"/>
      <c r="AI668" s="122"/>
      <c r="AJ668" s="32"/>
      <c r="AK668" s="122"/>
      <c r="AL668" s="32"/>
      <c r="AM668" s="122"/>
      <c r="AN668" s="122"/>
      <c r="AO668" s="12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</row>
    <row r="669" spans="1:52" ht="15.75" customHeight="1">
      <c r="A669" s="122"/>
      <c r="B669" s="122"/>
      <c r="C669" s="122"/>
      <c r="D669" s="123"/>
      <c r="E669" s="123"/>
      <c r="F669" s="122"/>
      <c r="G669" s="122"/>
      <c r="H669" s="124"/>
      <c r="I669" s="122"/>
      <c r="J669" s="122"/>
      <c r="K669" s="122"/>
      <c r="L669" s="125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6"/>
      <c r="AE669" s="122"/>
      <c r="AF669" s="126"/>
      <c r="AG669" s="122"/>
      <c r="AH669" s="126"/>
      <c r="AI669" s="122"/>
      <c r="AJ669" s="32"/>
      <c r="AK669" s="122"/>
      <c r="AL669" s="32"/>
      <c r="AM669" s="122"/>
      <c r="AN669" s="122"/>
      <c r="AO669" s="12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</row>
    <row r="670" spans="1:52" ht="15.75" customHeight="1">
      <c r="A670" s="122"/>
      <c r="B670" s="122"/>
      <c r="C670" s="122"/>
      <c r="D670" s="123"/>
      <c r="E670" s="123"/>
      <c r="F670" s="122"/>
      <c r="G670" s="122"/>
      <c r="H670" s="124"/>
      <c r="I670" s="122"/>
      <c r="J670" s="122"/>
      <c r="K670" s="122"/>
      <c r="L670" s="125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6"/>
      <c r="AE670" s="122"/>
      <c r="AF670" s="126"/>
      <c r="AG670" s="122"/>
      <c r="AH670" s="126"/>
      <c r="AI670" s="122"/>
      <c r="AJ670" s="32"/>
      <c r="AK670" s="122"/>
      <c r="AL670" s="32"/>
      <c r="AM670" s="122"/>
      <c r="AN670" s="122"/>
      <c r="AO670" s="12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</row>
    <row r="671" spans="1:52" ht="15.75" customHeight="1">
      <c r="A671" s="122"/>
      <c r="B671" s="122"/>
      <c r="C671" s="122"/>
      <c r="D671" s="123"/>
      <c r="E671" s="123"/>
      <c r="F671" s="122"/>
      <c r="G671" s="122"/>
      <c r="H671" s="124"/>
      <c r="I671" s="122"/>
      <c r="J671" s="122"/>
      <c r="K671" s="122"/>
      <c r="L671" s="125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6"/>
      <c r="AE671" s="122"/>
      <c r="AF671" s="126"/>
      <c r="AG671" s="122"/>
      <c r="AH671" s="126"/>
      <c r="AI671" s="122"/>
      <c r="AJ671" s="32"/>
      <c r="AK671" s="122"/>
      <c r="AL671" s="32"/>
      <c r="AM671" s="122"/>
      <c r="AN671" s="122"/>
      <c r="AO671" s="12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</row>
    <row r="672" spans="1:52" ht="15.75" customHeight="1">
      <c r="A672" s="122"/>
      <c r="B672" s="122"/>
      <c r="C672" s="122"/>
      <c r="D672" s="123"/>
      <c r="E672" s="123"/>
      <c r="F672" s="122"/>
      <c r="G672" s="122"/>
      <c r="H672" s="124"/>
      <c r="I672" s="122"/>
      <c r="J672" s="122"/>
      <c r="K672" s="122"/>
      <c r="L672" s="125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6"/>
      <c r="AE672" s="122"/>
      <c r="AF672" s="126"/>
      <c r="AG672" s="122"/>
      <c r="AH672" s="126"/>
      <c r="AI672" s="122"/>
      <c r="AJ672" s="32"/>
      <c r="AK672" s="122"/>
      <c r="AL672" s="32"/>
      <c r="AM672" s="122"/>
      <c r="AN672" s="122"/>
      <c r="AO672" s="12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</row>
    <row r="673" spans="1:52" ht="15.75" customHeight="1">
      <c r="A673" s="122"/>
      <c r="B673" s="122"/>
      <c r="C673" s="122"/>
      <c r="D673" s="123"/>
      <c r="E673" s="123"/>
      <c r="F673" s="122"/>
      <c r="G673" s="122"/>
      <c r="H673" s="124"/>
      <c r="I673" s="122"/>
      <c r="J673" s="122"/>
      <c r="K673" s="122"/>
      <c r="L673" s="125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6"/>
      <c r="AE673" s="122"/>
      <c r="AF673" s="126"/>
      <c r="AG673" s="122"/>
      <c r="AH673" s="126"/>
      <c r="AI673" s="122"/>
      <c r="AJ673" s="32"/>
      <c r="AK673" s="122"/>
      <c r="AL673" s="32"/>
      <c r="AM673" s="122"/>
      <c r="AN673" s="122"/>
      <c r="AO673" s="12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</row>
    <row r="674" spans="1:52" ht="15.75" customHeight="1">
      <c r="A674" s="122"/>
      <c r="B674" s="122"/>
      <c r="C674" s="122"/>
      <c r="D674" s="123"/>
      <c r="E674" s="123"/>
      <c r="F674" s="122"/>
      <c r="G674" s="122"/>
      <c r="H674" s="124"/>
      <c r="I674" s="122"/>
      <c r="J674" s="122"/>
      <c r="K674" s="122"/>
      <c r="L674" s="125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6"/>
      <c r="AE674" s="122"/>
      <c r="AF674" s="126"/>
      <c r="AG674" s="122"/>
      <c r="AH674" s="126"/>
      <c r="AI674" s="122"/>
      <c r="AJ674" s="32"/>
      <c r="AK674" s="122"/>
      <c r="AL674" s="32"/>
      <c r="AM674" s="122"/>
      <c r="AN674" s="122"/>
      <c r="AO674" s="12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</row>
    <row r="675" spans="1:52" ht="15.75" customHeight="1">
      <c r="A675" s="122"/>
      <c r="B675" s="122"/>
      <c r="C675" s="122"/>
      <c r="D675" s="123"/>
      <c r="E675" s="123"/>
      <c r="F675" s="122"/>
      <c r="G675" s="122"/>
      <c r="H675" s="124"/>
      <c r="I675" s="122"/>
      <c r="J675" s="122"/>
      <c r="K675" s="122"/>
      <c r="L675" s="125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6"/>
      <c r="AE675" s="122"/>
      <c r="AF675" s="126"/>
      <c r="AG675" s="122"/>
      <c r="AH675" s="126"/>
      <c r="AI675" s="122"/>
      <c r="AJ675" s="32"/>
      <c r="AK675" s="122"/>
      <c r="AL675" s="32"/>
      <c r="AM675" s="122"/>
      <c r="AN675" s="122"/>
      <c r="AO675" s="12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</row>
    <row r="676" spans="1:52" ht="15.75" customHeight="1">
      <c r="A676" s="122"/>
      <c r="B676" s="122"/>
      <c r="C676" s="122"/>
      <c r="D676" s="123"/>
      <c r="E676" s="123"/>
      <c r="F676" s="122"/>
      <c r="G676" s="122"/>
      <c r="H676" s="124"/>
      <c r="I676" s="122"/>
      <c r="J676" s="122"/>
      <c r="K676" s="122"/>
      <c r="L676" s="125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6"/>
      <c r="AE676" s="122"/>
      <c r="AF676" s="126"/>
      <c r="AG676" s="122"/>
      <c r="AH676" s="126"/>
      <c r="AI676" s="122"/>
      <c r="AJ676" s="32"/>
      <c r="AK676" s="122"/>
      <c r="AL676" s="32"/>
      <c r="AM676" s="122"/>
      <c r="AN676" s="122"/>
      <c r="AO676" s="12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</row>
    <row r="677" spans="1:52" ht="15.75" customHeight="1">
      <c r="A677" s="122"/>
      <c r="B677" s="122"/>
      <c r="C677" s="122"/>
      <c r="D677" s="123"/>
      <c r="E677" s="123"/>
      <c r="F677" s="122"/>
      <c r="G677" s="122"/>
      <c r="H677" s="124"/>
      <c r="I677" s="122"/>
      <c r="J677" s="122"/>
      <c r="K677" s="122"/>
      <c r="L677" s="125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6"/>
      <c r="AE677" s="122"/>
      <c r="AF677" s="126"/>
      <c r="AG677" s="122"/>
      <c r="AH677" s="126"/>
      <c r="AI677" s="122"/>
      <c r="AJ677" s="32"/>
      <c r="AK677" s="122"/>
      <c r="AL677" s="32"/>
      <c r="AM677" s="122"/>
      <c r="AN677" s="122"/>
      <c r="AO677" s="12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</row>
    <row r="678" spans="1:52" ht="15.75" customHeight="1">
      <c r="A678" s="122"/>
      <c r="B678" s="122"/>
      <c r="C678" s="122"/>
      <c r="D678" s="123"/>
      <c r="E678" s="123"/>
      <c r="F678" s="122"/>
      <c r="G678" s="122"/>
      <c r="H678" s="124"/>
      <c r="I678" s="122"/>
      <c r="J678" s="122"/>
      <c r="K678" s="122"/>
      <c r="L678" s="125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6"/>
      <c r="AE678" s="122"/>
      <c r="AF678" s="126"/>
      <c r="AG678" s="122"/>
      <c r="AH678" s="126"/>
      <c r="AI678" s="122"/>
      <c r="AJ678" s="32"/>
      <c r="AK678" s="122"/>
      <c r="AL678" s="32"/>
      <c r="AM678" s="122"/>
      <c r="AN678" s="122"/>
      <c r="AO678" s="12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</row>
    <row r="679" spans="1:52" ht="15.75" customHeight="1">
      <c r="A679" s="122"/>
      <c r="B679" s="122"/>
      <c r="C679" s="122"/>
      <c r="D679" s="123"/>
      <c r="E679" s="123"/>
      <c r="F679" s="122"/>
      <c r="G679" s="122"/>
      <c r="H679" s="124"/>
      <c r="I679" s="122"/>
      <c r="J679" s="122"/>
      <c r="K679" s="122"/>
      <c r="L679" s="125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6"/>
      <c r="AE679" s="122"/>
      <c r="AF679" s="126"/>
      <c r="AG679" s="122"/>
      <c r="AH679" s="126"/>
      <c r="AI679" s="122"/>
      <c r="AJ679" s="32"/>
      <c r="AK679" s="122"/>
      <c r="AL679" s="32"/>
      <c r="AM679" s="122"/>
      <c r="AN679" s="122"/>
      <c r="AO679" s="12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</row>
    <row r="680" spans="1:52" ht="15.75" customHeight="1">
      <c r="A680" s="122"/>
      <c r="B680" s="122"/>
      <c r="C680" s="122"/>
      <c r="D680" s="123"/>
      <c r="E680" s="123"/>
      <c r="F680" s="122"/>
      <c r="G680" s="122"/>
      <c r="H680" s="124"/>
      <c r="I680" s="122"/>
      <c r="J680" s="122"/>
      <c r="K680" s="122"/>
      <c r="L680" s="125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6"/>
      <c r="AE680" s="122"/>
      <c r="AF680" s="126"/>
      <c r="AG680" s="122"/>
      <c r="AH680" s="126"/>
      <c r="AI680" s="122"/>
      <c r="AJ680" s="32"/>
      <c r="AK680" s="122"/>
      <c r="AL680" s="32"/>
      <c r="AM680" s="122"/>
      <c r="AN680" s="122"/>
      <c r="AO680" s="12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</row>
    <row r="681" spans="1:52" ht="15.75" customHeight="1">
      <c r="A681" s="122"/>
      <c r="B681" s="122"/>
      <c r="C681" s="122"/>
      <c r="D681" s="123"/>
      <c r="E681" s="123"/>
      <c r="F681" s="122"/>
      <c r="G681" s="122"/>
      <c r="H681" s="124"/>
      <c r="I681" s="122"/>
      <c r="J681" s="122"/>
      <c r="K681" s="122"/>
      <c r="L681" s="125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6"/>
      <c r="AE681" s="122"/>
      <c r="AF681" s="126"/>
      <c r="AG681" s="122"/>
      <c r="AH681" s="126"/>
      <c r="AI681" s="122"/>
      <c r="AJ681" s="32"/>
      <c r="AK681" s="122"/>
      <c r="AL681" s="32"/>
      <c r="AM681" s="122"/>
      <c r="AN681" s="122"/>
      <c r="AO681" s="12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</row>
    <row r="682" spans="1:52" ht="15.75" customHeight="1">
      <c r="A682" s="122"/>
      <c r="B682" s="122"/>
      <c r="C682" s="122"/>
      <c r="D682" s="123"/>
      <c r="E682" s="123"/>
      <c r="F682" s="122"/>
      <c r="G682" s="122"/>
      <c r="H682" s="124"/>
      <c r="I682" s="122"/>
      <c r="J682" s="122"/>
      <c r="K682" s="122"/>
      <c r="L682" s="125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6"/>
      <c r="AE682" s="122"/>
      <c r="AF682" s="126"/>
      <c r="AG682" s="122"/>
      <c r="AH682" s="126"/>
      <c r="AI682" s="122"/>
      <c r="AJ682" s="32"/>
      <c r="AK682" s="122"/>
      <c r="AL682" s="32"/>
      <c r="AM682" s="122"/>
      <c r="AN682" s="122"/>
      <c r="AO682" s="12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</row>
    <row r="683" spans="1:52" ht="15.75" customHeight="1">
      <c r="A683" s="122"/>
      <c r="B683" s="122"/>
      <c r="C683" s="122"/>
      <c r="D683" s="123"/>
      <c r="E683" s="123"/>
      <c r="F683" s="122"/>
      <c r="G683" s="122"/>
      <c r="H683" s="124"/>
      <c r="I683" s="122"/>
      <c r="J683" s="122"/>
      <c r="K683" s="122"/>
      <c r="L683" s="125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6"/>
      <c r="AE683" s="122"/>
      <c r="AF683" s="126"/>
      <c r="AG683" s="122"/>
      <c r="AH683" s="126"/>
      <c r="AI683" s="122"/>
      <c r="AJ683" s="32"/>
      <c r="AK683" s="122"/>
      <c r="AL683" s="32"/>
      <c r="AM683" s="122"/>
      <c r="AN683" s="122"/>
      <c r="AO683" s="12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</row>
    <row r="684" spans="1:52" ht="15.75" customHeight="1">
      <c r="A684" s="122"/>
      <c r="B684" s="122"/>
      <c r="C684" s="122"/>
      <c r="D684" s="123"/>
      <c r="E684" s="123"/>
      <c r="F684" s="122"/>
      <c r="G684" s="122"/>
      <c r="H684" s="124"/>
      <c r="I684" s="122"/>
      <c r="J684" s="122"/>
      <c r="K684" s="122"/>
      <c r="L684" s="125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6"/>
      <c r="AE684" s="122"/>
      <c r="AF684" s="126"/>
      <c r="AG684" s="122"/>
      <c r="AH684" s="126"/>
      <c r="AI684" s="122"/>
      <c r="AJ684" s="32"/>
      <c r="AK684" s="122"/>
      <c r="AL684" s="32"/>
      <c r="AM684" s="122"/>
      <c r="AN684" s="122"/>
      <c r="AO684" s="12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</row>
    <row r="685" spans="1:52" ht="15.75" customHeight="1">
      <c r="A685" s="122"/>
      <c r="B685" s="122"/>
      <c r="C685" s="122"/>
      <c r="D685" s="123"/>
      <c r="E685" s="123"/>
      <c r="F685" s="122"/>
      <c r="G685" s="122"/>
      <c r="H685" s="124"/>
      <c r="I685" s="122"/>
      <c r="J685" s="122"/>
      <c r="K685" s="122"/>
      <c r="L685" s="125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6"/>
      <c r="AE685" s="122"/>
      <c r="AF685" s="126"/>
      <c r="AG685" s="122"/>
      <c r="AH685" s="126"/>
      <c r="AI685" s="122"/>
      <c r="AJ685" s="32"/>
      <c r="AK685" s="122"/>
      <c r="AL685" s="32"/>
      <c r="AM685" s="122"/>
      <c r="AN685" s="122"/>
      <c r="AO685" s="12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</row>
    <row r="686" spans="1:52" ht="15.75" customHeight="1">
      <c r="A686" s="122"/>
      <c r="B686" s="122"/>
      <c r="C686" s="122"/>
      <c r="D686" s="123"/>
      <c r="E686" s="123"/>
      <c r="F686" s="122"/>
      <c r="G686" s="122"/>
      <c r="H686" s="124"/>
      <c r="I686" s="122"/>
      <c r="J686" s="122"/>
      <c r="K686" s="122"/>
      <c r="L686" s="125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6"/>
      <c r="AE686" s="122"/>
      <c r="AF686" s="126"/>
      <c r="AG686" s="122"/>
      <c r="AH686" s="126"/>
      <c r="AI686" s="122"/>
      <c r="AJ686" s="32"/>
      <c r="AK686" s="122"/>
      <c r="AL686" s="32"/>
      <c r="AM686" s="122"/>
      <c r="AN686" s="122"/>
      <c r="AO686" s="12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</row>
    <row r="687" spans="1:52" ht="15.75" customHeight="1">
      <c r="A687" s="122"/>
      <c r="B687" s="122"/>
      <c r="C687" s="122"/>
      <c r="D687" s="123"/>
      <c r="E687" s="123"/>
      <c r="F687" s="122"/>
      <c r="G687" s="122"/>
      <c r="H687" s="124"/>
      <c r="I687" s="122"/>
      <c r="J687" s="122"/>
      <c r="K687" s="122"/>
      <c r="L687" s="125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6"/>
      <c r="AE687" s="122"/>
      <c r="AF687" s="126"/>
      <c r="AG687" s="122"/>
      <c r="AH687" s="126"/>
      <c r="AI687" s="122"/>
      <c r="AJ687" s="32"/>
      <c r="AK687" s="122"/>
      <c r="AL687" s="32"/>
      <c r="AM687" s="122"/>
      <c r="AN687" s="122"/>
      <c r="AO687" s="12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</row>
    <row r="688" spans="1:52" ht="15.75" customHeight="1">
      <c r="A688" s="122"/>
      <c r="B688" s="122"/>
      <c r="C688" s="122"/>
      <c r="D688" s="123"/>
      <c r="E688" s="123"/>
      <c r="F688" s="122"/>
      <c r="G688" s="122"/>
      <c r="H688" s="124"/>
      <c r="I688" s="122"/>
      <c r="J688" s="122"/>
      <c r="K688" s="122"/>
      <c r="L688" s="125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6"/>
      <c r="AE688" s="122"/>
      <c r="AF688" s="126"/>
      <c r="AG688" s="122"/>
      <c r="AH688" s="126"/>
      <c r="AI688" s="122"/>
      <c r="AJ688" s="32"/>
      <c r="AK688" s="122"/>
      <c r="AL688" s="32"/>
      <c r="AM688" s="122"/>
      <c r="AN688" s="122"/>
      <c r="AO688" s="12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</row>
    <row r="689" spans="1:52" ht="15.75" customHeight="1">
      <c r="A689" s="122"/>
      <c r="B689" s="122"/>
      <c r="C689" s="122"/>
      <c r="D689" s="123"/>
      <c r="E689" s="123"/>
      <c r="F689" s="122"/>
      <c r="G689" s="122"/>
      <c r="H689" s="124"/>
      <c r="I689" s="122"/>
      <c r="J689" s="122"/>
      <c r="K689" s="122"/>
      <c r="L689" s="125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6"/>
      <c r="AE689" s="122"/>
      <c r="AF689" s="126"/>
      <c r="AG689" s="122"/>
      <c r="AH689" s="126"/>
      <c r="AI689" s="122"/>
      <c r="AJ689" s="32"/>
      <c r="AK689" s="122"/>
      <c r="AL689" s="32"/>
      <c r="AM689" s="122"/>
      <c r="AN689" s="122"/>
      <c r="AO689" s="12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</row>
    <row r="690" spans="1:52" ht="15.75" customHeight="1">
      <c r="A690" s="122"/>
      <c r="B690" s="122"/>
      <c r="C690" s="122"/>
      <c r="D690" s="123"/>
      <c r="E690" s="123"/>
      <c r="F690" s="122"/>
      <c r="G690" s="122"/>
      <c r="H690" s="124"/>
      <c r="I690" s="122"/>
      <c r="J690" s="122"/>
      <c r="K690" s="122"/>
      <c r="L690" s="125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6"/>
      <c r="AE690" s="122"/>
      <c r="AF690" s="126"/>
      <c r="AG690" s="122"/>
      <c r="AH690" s="126"/>
      <c r="AI690" s="122"/>
      <c r="AJ690" s="32"/>
      <c r="AK690" s="122"/>
      <c r="AL690" s="32"/>
      <c r="AM690" s="122"/>
      <c r="AN690" s="122"/>
      <c r="AO690" s="12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</row>
    <row r="691" spans="1:52" ht="15.75" customHeight="1">
      <c r="A691" s="122"/>
      <c r="B691" s="122"/>
      <c r="C691" s="122"/>
      <c r="D691" s="123"/>
      <c r="E691" s="123"/>
      <c r="F691" s="122"/>
      <c r="G691" s="122"/>
      <c r="H691" s="124"/>
      <c r="I691" s="122"/>
      <c r="J691" s="122"/>
      <c r="K691" s="122"/>
      <c r="L691" s="125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6"/>
      <c r="AE691" s="122"/>
      <c r="AF691" s="126"/>
      <c r="AG691" s="122"/>
      <c r="AH691" s="126"/>
      <c r="AI691" s="122"/>
      <c r="AJ691" s="32"/>
      <c r="AK691" s="122"/>
      <c r="AL691" s="32"/>
      <c r="AM691" s="122"/>
      <c r="AN691" s="122"/>
      <c r="AO691" s="12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</row>
    <row r="692" spans="1:52" ht="15.75" customHeight="1">
      <c r="A692" s="122"/>
      <c r="B692" s="122"/>
      <c r="C692" s="122"/>
      <c r="D692" s="123"/>
      <c r="E692" s="123"/>
      <c r="F692" s="122"/>
      <c r="G692" s="122"/>
      <c r="H692" s="124"/>
      <c r="I692" s="122"/>
      <c r="J692" s="122"/>
      <c r="K692" s="122"/>
      <c r="L692" s="125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6"/>
      <c r="AE692" s="122"/>
      <c r="AF692" s="126"/>
      <c r="AG692" s="122"/>
      <c r="AH692" s="126"/>
      <c r="AI692" s="122"/>
      <c r="AJ692" s="32"/>
      <c r="AK692" s="122"/>
      <c r="AL692" s="32"/>
      <c r="AM692" s="122"/>
      <c r="AN692" s="122"/>
      <c r="AO692" s="12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</row>
    <row r="693" spans="1:52" ht="15.75" customHeight="1">
      <c r="A693" s="122"/>
      <c r="B693" s="122"/>
      <c r="C693" s="122"/>
      <c r="D693" s="123"/>
      <c r="E693" s="123"/>
      <c r="F693" s="122"/>
      <c r="G693" s="122"/>
      <c r="H693" s="124"/>
      <c r="I693" s="122"/>
      <c r="J693" s="122"/>
      <c r="K693" s="122"/>
      <c r="L693" s="125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6"/>
      <c r="AE693" s="122"/>
      <c r="AF693" s="126"/>
      <c r="AG693" s="122"/>
      <c r="AH693" s="126"/>
      <c r="AI693" s="122"/>
      <c r="AJ693" s="32"/>
      <c r="AK693" s="122"/>
      <c r="AL693" s="32"/>
      <c r="AM693" s="122"/>
      <c r="AN693" s="122"/>
      <c r="AO693" s="12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</row>
    <row r="694" spans="1:52" ht="15.75" customHeight="1">
      <c r="A694" s="122"/>
      <c r="B694" s="122"/>
      <c r="C694" s="122"/>
      <c r="D694" s="123"/>
      <c r="E694" s="123"/>
      <c r="F694" s="122"/>
      <c r="G694" s="122"/>
      <c r="H694" s="124"/>
      <c r="I694" s="122"/>
      <c r="J694" s="122"/>
      <c r="K694" s="122"/>
      <c r="L694" s="125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6"/>
      <c r="AE694" s="122"/>
      <c r="AF694" s="126"/>
      <c r="AG694" s="122"/>
      <c r="AH694" s="126"/>
      <c r="AI694" s="122"/>
      <c r="AJ694" s="32"/>
      <c r="AK694" s="122"/>
      <c r="AL694" s="32"/>
      <c r="AM694" s="122"/>
      <c r="AN694" s="122"/>
      <c r="AO694" s="12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</row>
    <row r="695" spans="1:52" ht="15.75" customHeight="1">
      <c r="A695" s="122"/>
      <c r="B695" s="122"/>
      <c r="C695" s="122"/>
      <c r="D695" s="123"/>
      <c r="E695" s="123"/>
      <c r="F695" s="122"/>
      <c r="G695" s="122"/>
      <c r="H695" s="124"/>
      <c r="I695" s="122"/>
      <c r="J695" s="122"/>
      <c r="K695" s="122"/>
      <c r="L695" s="125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6"/>
      <c r="AE695" s="122"/>
      <c r="AF695" s="126"/>
      <c r="AG695" s="122"/>
      <c r="AH695" s="126"/>
      <c r="AI695" s="122"/>
      <c r="AJ695" s="32"/>
      <c r="AK695" s="122"/>
      <c r="AL695" s="32"/>
      <c r="AM695" s="122"/>
      <c r="AN695" s="122"/>
      <c r="AO695" s="12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</row>
    <row r="696" spans="1:52" ht="15.75" customHeight="1">
      <c r="A696" s="122"/>
      <c r="B696" s="122"/>
      <c r="C696" s="122"/>
      <c r="D696" s="123"/>
      <c r="E696" s="123"/>
      <c r="F696" s="122"/>
      <c r="G696" s="122"/>
      <c r="H696" s="124"/>
      <c r="I696" s="122"/>
      <c r="J696" s="122"/>
      <c r="K696" s="122"/>
      <c r="L696" s="125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6"/>
      <c r="AE696" s="122"/>
      <c r="AF696" s="126"/>
      <c r="AG696" s="122"/>
      <c r="AH696" s="126"/>
      <c r="AI696" s="122"/>
      <c r="AJ696" s="32"/>
      <c r="AK696" s="122"/>
      <c r="AL696" s="32"/>
      <c r="AM696" s="122"/>
      <c r="AN696" s="122"/>
      <c r="AO696" s="12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</row>
    <row r="697" spans="1:52" ht="15.75" customHeight="1">
      <c r="A697" s="122"/>
      <c r="B697" s="122"/>
      <c r="C697" s="122"/>
      <c r="D697" s="123"/>
      <c r="E697" s="123"/>
      <c r="F697" s="122"/>
      <c r="G697" s="122"/>
      <c r="H697" s="124"/>
      <c r="I697" s="122"/>
      <c r="J697" s="122"/>
      <c r="K697" s="122"/>
      <c r="L697" s="125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6"/>
      <c r="AE697" s="122"/>
      <c r="AF697" s="126"/>
      <c r="AG697" s="122"/>
      <c r="AH697" s="126"/>
      <c r="AI697" s="122"/>
      <c r="AJ697" s="32"/>
      <c r="AK697" s="122"/>
      <c r="AL697" s="32"/>
      <c r="AM697" s="122"/>
      <c r="AN697" s="122"/>
      <c r="AO697" s="12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</row>
    <row r="698" spans="1:52" ht="15.75" customHeight="1">
      <c r="A698" s="122"/>
      <c r="B698" s="122"/>
      <c r="C698" s="122"/>
      <c r="D698" s="123"/>
      <c r="E698" s="123"/>
      <c r="F698" s="122"/>
      <c r="G698" s="122"/>
      <c r="H698" s="124"/>
      <c r="I698" s="122"/>
      <c r="J698" s="122"/>
      <c r="K698" s="122"/>
      <c r="L698" s="125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6"/>
      <c r="AE698" s="122"/>
      <c r="AF698" s="126"/>
      <c r="AG698" s="122"/>
      <c r="AH698" s="126"/>
      <c r="AI698" s="122"/>
      <c r="AJ698" s="32"/>
      <c r="AK698" s="122"/>
      <c r="AL698" s="32"/>
      <c r="AM698" s="122"/>
      <c r="AN698" s="122"/>
      <c r="AO698" s="12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</row>
    <row r="699" spans="1:52" ht="15.75" customHeight="1">
      <c r="A699" s="122"/>
      <c r="B699" s="122"/>
      <c r="C699" s="122"/>
      <c r="D699" s="123"/>
      <c r="E699" s="123"/>
      <c r="F699" s="122"/>
      <c r="G699" s="122"/>
      <c r="H699" s="124"/>
      <c r="I699" s="122"/>
      <c r="J699" s="122"/>
      <c r="K699" s="122"/>
      <c r="L699" s="125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6"/>
      <c r="AE699" s="122"/>
      <c r="AF699" s="126"/>
      <c r="AG699" s="122"/>
      <c r="AH699" s="126"/>
      <c r="AI699" s="122"/>
      <c r="AJ699" s="32"/>
      <c r="AK699" s="122"/>
      <c r="AL699" s="32"/>
      <c r="AM699" s="122"/>
      <c r="AN699" s="122"/>
      <c r="AO699" s="12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</row>
    <row r="700" spans="1:52" ht="15.75" customHeight="1">
      <c r="A700" s="122"/>
      <c r="B700" s="122"/>
      <c r="C700" s="122"/>
      <c r="D700" s="123"/>
      <c r="E700" s="123"/>
      <c r="F700" s="122"/>
      <c r="G700" s="122"/>
      <c r="H700" s="124"/>
      <c r="I700" s="122"/>
      <c r="J700" s="122"/>
      <c r="K700" s="122"/>
      <c r="L700" s="125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6"/>
      <c r="AE700" s="122"/>
      <c r="AF700" s="126"/>
      <c r="AG700" s="122"/>
      <c r="AH700" s="126"/>
      <c r="AI700" s="122"/>
      <c r="AJ700" s="32"/>
      <c r="AK700" s="122"/>
      <c r="AL700" s="32"/>
      <c r="AM700" s="122"/>
      <c r="AN700" s="122"/>
      <c r="AO700" s="12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</row>
    <row r="701" spans="1:52" ht="15.75" customHeight="1">
      <c r="A701" s="122"/>
      <c r="B701" s="122"/>
      <c r="C701" s="122"/>
      <c r="D701" s="123"/>
      <c r="E701" s="123"/>
      <c r="F701" s="122"/>
      <c r="G701" s="122"/>
      <c r="H701" s="124"/>
      <c r="I701" s="122"/>
      <c r="J701" s="122"/>
      <c r="K701" s="122"/>
      <c r="L701" s="125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6"/>
      <c r="AE701" s="122"/>
      <c r="AF701" s="126"/>
      <c r="AG701" s="122"/>
      <c r="AH701" s="126"/>
      <c r="AI701" s="122"/>
      <c r="AJ701" s="32"/>
      <c r="AK701" s="122"/>
      <c r="AL701" s="32"/>
      <c r="AM701" s="122"/>
      <c r="AN701" s="122"/>
      <c r="AO701" s="12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</row>
    <row r="702" spans="1:52" ht="15.75" customHeight="1">
      <c r="A702" s="122"/>
      <c r="B702" s="122"/>
      <c r="C702" s="122"/>
      <c r="D702" s="123"/>
      <c r="E702" s="123"/>
      <c r="F702" s="122"/>
      <c r="G702" s="122"/>
      <c r="H702" s="124"/>
      <c r="I702" s="122"/>
      <c r="J702" s="122"/>
      <c r="K702" s="122"/>
      <c r="L702" s="125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6"/>
      <c r="AE702" s="122"/>
      <c r="AF702" s="126"/>
      <c r="AG702" s="122"/>
      <c r="AH702" s="126"/>
      <c r="AI702" s="122"/>
      <c r="AJ702" s="32"/>
      <c r="AK702" s="122"/>
      <c r="AL702" s="32"/>
      <c r="AM702" s="122"/>
      <c r="AN702" s="122"/>
      <c r="AO702" s="12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</row>
    <row r="703" spans="1:52" ht="15.75" customHeight="1">
      <c r="A703" s="122"/>
      <c r="B703" s="122"/>
      <c r="C703" s="122"/>
      <c r="D703" s="123"/>
      <c r="E703" s="123"/>
      <c r="F703" s="122"/>
      <c r="G703" s="122"/>
      <c r="H703" s="124"/>
      <c r="I703" s="122"/>
      <c r="J703" s="122"/>
      <c r="K703" s="122"/>
      <c r="L703" s="125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6"/>
      <c r="AE703" s="122"/>
      <c r="AF703" s="126"/>
      <c r="AG703" s="122"/>
      <c r="AH703" s="126"/>
      <c r="AI703" s="122"/>
      <c r="AJ703" s="32"/>
      <c r="AK703" s="122"/>
      <c r="AL703" s="32"/>
      <c r="AM703" s="122"/>
      <c r="AN703" s="122"/>
      <c r="AO703" s="12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</row>
    <row r="704" spans="1:52" ht="15.75" customHeight="1">
      <c r="A704" s="122"/>
      <c r="B704" s="122"/>
      <c r="C704" s="122"/>
      <c r="D704" s="123"/>
      <c r="E704" s="123"/>
      <c r="F704" s="122"/>
      <c r="G704" s="122"/>
      <c r="H704" s="124"/>
      <c r="I704" s="122"/>
      <c r="J704" s="122"/>
      <c r="K704" s="122"/>
      <c r="L704" s="125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6"/>
      <c r="AE704" s="122"/>
      <c r="AF704" s="126"/>
      <c r="AG704" s="122"/>
      <c r="AH704" s="126"/>
      <c r="AI704" s="122"/>
      <c r="AJ704" s="32"/>
      <c r="AK704" s="122"/>
      <c r="AL704" s="32"/>
      <c r="AM704" s="122"/>
      <c r="AN704" s="122"/>
      <c r="AO704" s="12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</row>
    <row r="705" spans="1:52" ht="15.75" customHeight="1">
      <c r="A705" s="122"/>
      <c r="B705" s="122"/>
      <c r="C705" s="122"/>
      <c r="D705" s="123"/>
      <c r="E705" s="123"/>
      <c r="F705" s="122"/>
      <c r="G705" s="122"/>
      <c r="H705" s="124"/>
      <c r="I705" s="122"/>
      <c r="J705" s="122"/>
      <c r="K705" s="122"/>
      <c r="L705" s="125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6"/>
      <c r="AE705" s="122"/>
      <c r="AF705" s="126"/>
      <c r="AG705" s="122"/>
      <c r="AH705" s="126"/>
      <c r="AI705" s="122"/>
      <c r="AJ705" s="32"/>
      <c r="AK705" s="122"/>
      <c r="AL705" s="32"/>
      <c r="AM705" s="122"/>
      <c r="AN705" s="122"/>
      <c r="AO705" s="12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</row>
    <row r="706" spans="1:52" ht="15.75" customHeight="1">
      <c r="A706" s="122"/>
      <c r="B706" s="122"/>
      <c r="C706" s="122"/>
      <c r="D706" s="123"/>
      <c r="E706" s="123"/>
      <c r="F706" s="122"/>
      <c r="G706" s="122"/>
      <c r="H706" s="124"/>
      <c r="I706" s="122"/>
      <c r="J706" s="122"/>
      <c r="K706" s="122"/>
      <c r="L706" s="125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6"/>
      <c r="AE706" s="122"/>
      <c r="AF706" s="126"/>
      <c r="AG706" s="122"/>
      <c r="AH706" s="126"/>
      <c r="AI706" s="122"/>
      <c r="AJ706" s="32"/>
      <c r="AK706" s="122"/>
      <c r="AL706" s="32"/>
      <c r="AM706" s="122"/>
      <c r="AN706" s="122"/>
      <c r="AO706" s="12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</row>
    <row r="707" spans="1:52" ht="15.75" customHeight="1">
      <c r="A707" s="122"/>
      <c r="B707" s="122"/>
      <c r="C707" s="122"/>
      <c r="D707" s="123"/>
      <c r="E707" s="123"/>
      <c r="F707" s="122"/>
      <c r="G707" s="122"/>
      <c r="H707" s="124"/>
      <c r="I707" s="122"/>
      <c r="J707" s="122"/>
      <c r="K707" s="122"/>
      <c r="L707" s="125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6"/>
      <c r="AE707" s="122"/>
      <c r="AF707" s="126"/>
      <c r="AG707" s="122"/>
      <c r="AH707" s="126"/>
      <c r="AI707" s="122"/>
      <c r="AJ707" s="32"/>
      <c r="AK707" s="122"/>
      <c r="AL707" s="32"/>
      <c r="AM707" s="122"/>
      <c r="AN707" s="122"/>
      <c r="AO707" s="12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</row>
    <row r="708" spans="1:52" ht="15.75" customHeight="1">
      <c r="A708" s="122"/>
      <c r="B708" s="122"/>
      <c r="C708" s="122"/>
      <c r="D708" s="123"/>
      <c r="E708" s="123"/>
      <c r="F708" s="122"/>
      <c r="G708" s="122"/>
      <c r="H708" s="124"/>
      <c r="I708" s="122"/>
      <c r="J708" s="122"/>
      <c r="K708" s="122"/>
      <c r="L708" s="125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6"/>
      <c r="AE708" s="122"/>
      <c r="AF708" s="126"/>
      <c r="AG708" s="122"/>
      <c r="AH708" s="126"/>
      <c r="AI708" s="122"/>
      <c r="AJ708" s="32"/>
      <c r="AK708" s="122"/>
      <c r="AL708" s="32"/>
      <c r="AM708" s="122"/>
      <c r="AN708" s="122"/>
      <c r="AO708" s="12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</row>
    <row r="709" spans="1:52" ht="15.75" customHeight="1">
      <c r="A709" s="122"/>
      <c r="B709" s="122"/>
      <c r="C709" s="122"/>
      <c r="D709" s="123"/>
      <c r="E709" s="123"/>
      <c r="F709" s="122"/>
      <c r="G709" s="122"/>
      <c r="H709" s="124"/>
      <c r="I709" s="122"/>
      <c r="J709" s="122"/>
      <c r="K709" s="122"/>
      <c r="L709" s="125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6"/>
      <c r="AE709" s="122"/>
      <c r="AF709" s="126"/>
      <c r="AG709" s="122"/>
      <c r="AH709" s="126"/>
      <c r="AI709" s="122"/>
      <c r="AJ709" s="32"/>
      <c r="AK709" s="122"/>
      <c r="AL709" s="32"/>
      <c r="AM709" s="122"/>
      <c r="AN709" s="122"/>
      <c r="AO709" s="12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</row>
    <row r="710" spans="1:52" ht="15.75" customHeight="1">
      <c r="A710" s="122"/>
      <c r="B710" s="122"/>
      <c r="C710" s="122"/>
      <c r="D710" s="123"/>
      <c r="E710" s="123"/>
      <c r="F710" s="122"/>
      <c r="G710" s="122"/>
      <c r="H710" s="124"/>
      <c r="I710" s="122"/>
      <c r="J710" s="122"/>
      <c r="K710" s="122"/>
      <c r="L710" s="125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6"/>
      <c r="AE710" s="122"/>
      <c r="AF710" s="126"/>
      <c r="AG710" s="122"/>
      <c r="AH710" s="126"/>
      <c r="AI710" s="122"/>
      <c r="AJ710" s="32"/>
      <c r="AK710" s="122"/>
      <c r="AL710" s="32"/>
      <c r="AM710" s="122"/>
      <c r="AN710" s="122"/>
      <c r="AO710" s="12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</row>
    <row r="711" spans="1:52" ht="15.75" customHeight="1">
      <c r="A711" s="122"/>
      <c r="B711" s="122"/>
      <c r="C711" s="122"/>
      <c r="D711" s="123"/>
      <c r="E711" s="123"/>
      <c r="F711" s="122"/>
      <c r="G711" s="122"/>
      <c r="H711" s="124"/>
      <c r="I711" s="122"/>
      <c r="J711" s="122"/>
      <c r="K711" s="122"/>
      <c r="L711" s="125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6"/>
      <c r="AE711" s="122"/>
      <c r="AF711" s="126"/>
      <c r="AG711" s="122"/>
      <c r="AH711" s="126"/>
      <c r="AI711" s="122"/>
      <c r="AJ711" s="32"/>
      <c r="AK711" s="122"/>
      <c r="AL711" s="32"/>
      <c r="AM711" s="122"/>
      <c r="AN711" s="122"/>
      <c r="AO711" s="12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</row>
    <row r="712" spans="1:52" ht="15.75" customHeight="1">
      <c r="A712" s="122"/>
      <c r="B712" s="122"/>
      <c r="C712" s="122"/>
      <c r="D712" s="123"/>
      <c r="E712" s="123"/>
      <c r="F712" s="122"/>
      <c r="G712" s="122"/>
      <c r="H712" s="124"/>
      <c r="I712" s="122"/>
      <c r="J712" s="122"/>
      <c r="K712" s="122"/>
      <c r="L712" s="125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6"/>
      <c r="AE712" s="122"/>
      <c r="AF712" s="126"/>
      <c r="AG712" s="122"/>
      <c r="AH712" s="126"/>
      <c r="AI712" s="122"/>
      <c r="AJ712" s="32"/>
      <c r="AK712" s="122"/>
      <c r="AL712" s="32"/>
      <c r="AM712" s="122"/>
      <c r="AN712" s="122"/>
      <c r="AO712" s="12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</row>
    <row r="713" spans="1:52" ht="15.75" customHeight="1">
      <c r="A713" s="122"/>
      <c r="B713" s="122"/>
      <c r="C713" s="122"/>
      <c r="D713" s="123"/>
      <c r="E713" s="123"/>
      <c r="F713" s="122"/>
      <c r="G713" s="122"/>
      <c r="H713" s="124"/>
      <c r="I713" s="122"/>
      <c r="J713" s="122"/>
      <c r="K713" s="122"/>
      <c r="L713" s="125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6"/>
      <c r="AE713" s="122"/>
      <c r="AF713" s="126"/>
      <c r="AG713" s="122"/>
      <c r="AH713" s="126"/>
      <c r="AI713" s="122"/>
      <c r="AJ713" s="32"/>
      <c r="AK713" s="122"/>
      <c r="AL713" s="32"/>
      <c r="AM713" s="122"/>
      <c r="AN713" s="122"/>
      <c r="AO713" s="12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</row>
    <row r="714" spans="1:52" ht="15.75" customHeight="1">
      <c r="A714" s="122"/>
      <c r="B714" s="122"/>
      <c r="C714" s="122"/>
      <c r="D714" s="123"/>
      <c r="E714" s="123"/>
      <c r="F714" s="122"/>
      <c r="G714" s="122"/>
      <c r="H714" s="124"/>
      <c r="I714" s="122"/>
      <c r="J714" s="122"/>
      <c r="K714" s="122"/>
      <c r="L714" s="125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6"/>
      <c r="AE714" s="122"/>
      <c r="AF714" s="126"/>
      <c r="AG714" s="122"/>
      <c r="AH714" s="126"/>
      <c r="AI714" s="122"/>
      <c r="AJ714" s="32"/>
      <c r="AK714" s="122"/>
      <c r="AL714" s="32"/>
      <c r="AM714" s="122"/>
      <c r="AN714" s="122"/>
      <c r="AO714" s="12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</row>
    <row r="715" spans="1:52" ht="15.75" customHeight="1">
      <c r="A715" s="122"/>
      <c r="B715" s="122"/>
      <c r="C715" s="122"/>
      <c r="D715" s="123"/>
      <c r="E715" s="123"/>
      <c r="F715" s="122"/>
      <c r="G715" s="122"/>
      <c r="H715" s="124"/>
      <c r="I715" s="122"/>
      <c r="J715" s="122"/>
      <c r="K715" s="122"/>
      <c r="L715" s="125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6"/>
      <c r="AE715" s="122"/>
      <c r="AF715" s="126"/>
      <c r="AG715" s="122"/>
      <c r="AH715" s="126"/>
      <c r="AI715" s="122"/>
      <c r="AJ715" s="32"/>
      <c r="AK715" s="122"/>
      <c r="AL715" s="32"/>
      <c r="AM715" s="122"/>
      <c r="AN715" s="122"/>
      <c r="AO715" s="12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</row>
    <row r="716" spans="1:52" ht="15.75" customHeight="1">
      <c r="A716" s="122"/>
      <c r="B716" s="122"/>
      <c r="C716" s="122"/>
      <c r="D716" s="123"/>
      <c r="E716" s="123"/>
      <c r="F716" s="122"/>
      <c r="G716" s="122"/>
      <c r="H716" s="124"/>
      <c r="I716" s="122"/>
      <c r="J716" s="122"/>
      <c r="K716" s="122"/>
      <c r="L716" s="125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6"/>
      <c r="AE716" s="122"/>
      <c r="AF716" s="126"/>
      <c r="AG716" s="122"/>
      <c r="AH716" s="126"/>
      <c r="AI716" s="122"/>
      <c r="AJ716" s="32"/>
      <c r="AK716" s="122"/>
      <c r="AL716" s="32"/>
      <c r="AM716" s="122"/>
      <c r="AN716" s="122"/>
      <c r="AO716" s="12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</row>
    <row r="717" spans="1:52" ht="15.75" customHeight="1">
      <c r="A717" s="122"/>
      <c r="B717" s="122"/>
      <c r="C717" s="122"/>
      <c r="D717" s="123"/>
      <c r="E717" s="123"/>
      <c r="F717" s="122"/>
      <c r="G717" s="122"/>
      <c r="H717" s="124"/>
      <c r="I717" s="122"/>
      <c r="J717" s="122"/>
      <c r="K717" s="122"/>
      <c r="L717" s="125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6"/>
      <c r="AE717" s="122"/>
      <c r="AF717" s="126"/>
      <c r="AG717" s="122"/>
      <c r="AH717" s="126"/>
      <c r="AI717" s="122"/>
      <c r="AJ717" s="32"/>
      <c r="AK717" s="122"/>
      <c r="AL717" s="32"/>
      <c r="AM717" s="122"/>
      <c r="AN717" s="122"/>
      <c r="AO717" s="12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</row>
    <row r="718" spans="1:52" ht="15.75" customHeight="1">
      <c r="A718" s="122"/>
      <c r="B718" s="122"/>
      <c r="C718" s="122"/>
      <c r="D718" s="123"/>
      <c r="E718" s="123"/>
      <c r="F718" s="122"/>
      <c r="G718" s="122"/>
      <c r="H718" s="124"/>
      <c r="I718" s="122"/>
      <c r="J718" s="122"/>
      <c r="K718" s="122"/>
      <c r="L718" s="125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6"/>
      <c r="AE718" s="122"/>
      <c r="AF718" s="126"/>
      <c r="AG718" s="122"/>
      <c r="AH718" s="126"/>
      <c r="AI718" s="122"/>
      <c r="AJ718" s="32"/>
      <c r="AK718" s="122"/>
      <c r="AL718" s="32"/>
      <c r="AM718" s="122"/>
      <c r="AN718" s="122"/>
      <c r="AO718" s="12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</row>
    <row r="719" spans="1:52" ht="15.75" customHeight="1">
      <c r="A719" s="122"/>
      <c r="B719" s="122"/>
      <c r="C719" s="122"/>
      <c r="D719" s="123"/>
      <c r="E719" s="123"/>
      <c r="F719" s="122"/>
      <c r="G719" s="122"/>
      <c r="H719" s="124"/>
      <c r="I719" s="122"/>
      <c r="J719" s="122"/>
      <c r="K719" s="122"/>
      <c r="L719" s="125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6"/>
      <c r="AE719" s="122"/>
      <c r="AF719" s="126"/>
      <c r="AG719" s="122"/>
      <c r="AH719" s="126"/>
      <c r="AI719" s="122"/>
      <c r="AJ719" s="32"/>
      <c r="AK719" s="122"/>
      <c r="AL719" s="32"/>
      <c r="AM719" s="122"/>
      <c r="AN719" s="122"/>
      <c r="AO719" s="12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</row>
    <row r="720" spans="1:52" ht="15.75" customHeight="1">
      <c r="A720" s="122"/>
      <c r="B720" s="122"/>
      <c r="C720" s="122"/>
      <c r="D720" s="123"/>
      <c r="E720" s="123"/>
      <c r="F720" s="122"/>
      <c r="G720" s="122"/>
      <c r="H720" s="124"/>
      <c r="I720" s="122"/>
      <c r="J720" s="122"/>
      <c r="K720" s="122"/>
      <c r="L720" s="125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6"/>
      <c r="AE720" s="122"/>
      <c r="AF720" s="126"/>
      <c r="AG720" s="122"/>
      <c r="AH720" s="126"/>
      <c r="AI720" s="122"/>
      <c r="AJ720" s="32"/>
      <c r="AK720" s="122"/>
      <c r="AL720" s="32"/>
      <c r="AM720" s="122"/>
      <c r="AN720" s="122"/>
      <c r="AO720" s="12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</row>
    <row r="721" spans="1:52" ht="15.75" customHeight="1">
      <c r="A721" s="122"/>
      <c r="B721" s="122"/>
      <c r="C721" s="122"/>
      <c r="D721" s="123"/>
      <c r="E721" s="123"/>
      <c r="F721" s="122"/>
      <c r="G721" s="122"/>
      <c r="H721" s="124"/>
      <c r="I721" s="122"/>
      <c r="J721" s="122"/>
      <c r="K721" s="122"/>
      <c r="L721" s="125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6"/>
      <c r="AE721" s="122"/>
      <c r="AF721" s="126"/>
      <c r="AG721" s="122"/>
      <c r="AH721" s="126"/>
      <c r="AI721" s="122"/>
      <c r="AJ721" s="32"/>
      <c r="AK721" s="122"/>
      <c r="AL721" s="32"/>
      <c r="AM721" s="122"/>
      <c r="AN721" s="122"/>
      <c r="AO721" s="12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</row>
    <row r="722" spans="1:52" ht="15.75" customHeight="1">
      <c r="A722" s="122"/>
      <c r="B722" s="122"/>
      <c r="C722" s="122"/>
      <c r="D722" s="123"/>
      <c r="E722" s="123"/>
      <c r="F722" s="122"/>
      <c r="G722" s="122"/>
      <c r="H722" s="124"/>
      <c r="I722" s="122"/>
      <c r="J722" s="122"/>
      <c r="K722" s="122"/>
      <c r="L722" s="125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6"/>
      <c r="AE722" s="122"/>
      <c r="AF722" s="126"/>
      <c r="AG722" s="122"/>
      <c r="AH722" s="126"/>
      <c r="AI722" s="122"/>
      <c r="AJ722" s="32"/>
      <c r="AK722" s="122"/>
      <c r="AL722" s="32"/>
      <c r="AM722" s="122"/>
      <c r="AN722" s="122"/>
      <c r="AO722" s="12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</row>
    <row r="723" spans="1:52" ht="15.75" customHeight="1">
      <c r="A723" s="122"/>
      <c r="B723" s="122"/>
      <c r="C723" s="122"/>
      <c r="D723" s="123"/>
      <c r="E723" s="123"/>
      <c r="F723" s="122"/>
      <c r="G723" s="122"/>
      <c r="H723" s="124"/>
      <c r="I723" s="122"/>
      <c r="J723" s="122"/>
      <c r="K723" s="122"/>
      <c r="L723" s="125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6"/>
      <c r="AE723" s="122"/>
      <c r="AF723" s="126"/>
      <c r="AG723" s="122"/>
      <c r="AH723" s="126"/>
      <c r="AI723" s="122"/>
      <c r="AJ723" s="32"/>
      <c r="AK723" s="122"/>
      <c r="AL723" s="32"/>
      <c r="AM723" s="122"/>
      <c r="AN723" s="122"/>
      <c r="AO723" s="12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</row>
    <row r="724" spans="1:52" ht="15.75" customHeight="1">
      <c r="A724" s="122"/>
      <c r="B724" s="122"/>
      <c r="C724" s="122"/>
      <c r="D724" s="123"/>
      <c r="E724" s="123"/>
      <c r="F724" s="122"/>
      <c r="G724" s="122"/>
      <c r="H724" s="124"/>
      <c r="I724" s="122"/>
      <c r="J724" s="122"/>
      <c r="K724" s="122"/>
      <c r="L724" s="125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6"/>
      <c r="AE724" s="122"/>
      <c r="AF724" s="126"/>
      <c r="AG724" s="122"/>
      <c r="AH724" s="126"/>
      <c r="AI724" s="122"/>
      <c r="AJ724" s="32"/>
      <c r="AK724" s="122"/>
      <c r="AL724" s="32"/>
      <c r="AM724" s="122"/>
      <c r="AN724" s="122"/>
      <c r="AO724" s="12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</row>
    <row r="725" spans="1:52" ht="15.75" customHeight="1">
      <c r="A725" s="122"/>
      <c r="B725" s="122"/>
      <c r="C725" s="122"/>
      <c r="D725" s="123"/>
      <c r="E725" s="123"/>
      <c r="F725" s="122"/>
      <c r="G725" s="122"/>
      <c r="H725" s="124"/>
      <c r="I725" s="122"/>
      <c r="J725" s="122"/>
      <c r="K725" s="122"/>
      <c r="L725" s="125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6"/>
      <c r="AE725" s="122"/>
      <c r="AF725" s="126"/>
      <c r="AG725" s="122"/>
      <c r="AH725" s="126"/>
      <c r="AI725" s="122"/>
      <c r="AJ725" s="32"/>
      <c r="AK725" s="122"/>
      <c r="AL725" s="32"/>
      <c r="AM725" s="122"/>
      <c r="AN725" s="122"/>
      <c r="AO725" s="12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</row>
    <row r="726" spans="1:52" ht="15.75" customHeight="1">
      <c r="A726" s="122"/>
      <c r="B726" s="122"/>
      <c r="C726" s="122"/>
      <c r="D726" s="123"/>
      <c r="E726" s="123"/>
      <c r="F726" s="122"/>
      <c r="G726" s="122"/>
      <c r="H726" s="124"/>
      <c r="I726" s="122"/>
      <c r="J726" s="122"/>
      <c r="K726" s="122"/>
      <c r="L726" s="125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6"/>
      <c r="AE726" s="122"/>
      <c r="AF726" s="126"/>
      <c r="AG726" s="122"/>
      <c r="AH726" s="126"/>
      <c r="AI726" s="122"/>
      <c r="AJ726" s="32"/>
      <c r="AK726" s="122"/>
      <c r="AL726" s="32"/>
      <c r="AM726" s="122"/>
      <c r="AN726" s="122"/>
      <c r="AO726" s="12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</row>
    <row r="727" spans="1:52" ht="15.75" customHeight="1">
      <c r="A727" s="122"/>
      <c r="B727" s="122"/>
      <c r="C727" s="122"/>
      <c r="D727" s="123"/>
      <c r="E727" s="123"/>
      <c r="F727" s="122"/>
      <c r="G727" s="122"/>
      <c r="H727" s="124"/>
      <c r="I727" s="122"/>
      <c r="J727" s="122"/>
      <c r="K727" s="122"/>
      <c r="L727" s="125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6"/>
      <c r="AE727" s="122"/>
      <c r="AF727" s="126"/>
      <c r="AG727" s="122"/>
      <c r="AH727" s="126"/>
      <c r="AI727" s="122"/>
      <c r="AJ727" s="32"/>
      <c r="AK727" s="122"/>
      <c r="AL727" s="32"/>
      <c r="AM727" s="122"/>
      <c r="AN727" s="122"/>
      <c r="AO727" s="12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</row>
    <row r="728" spans="1:52" ht="15.75" customHeight="1">
      <c r="A728" s="122"/>
      <c r="B728" s="122"/>
      <c r="C728" s="122"/>
      <c r="D728" s="123"/>
      <c r="E728" s="123"/>
      <c r="F728" s="122"/>
      <c r="G728" s="122"/>
      <c r="H728" s="124"/>
      <c r="I728" s="122"/>
      <c r="J728" s="122"/>
      <c r="K728" s="122"/>
      <c r="L728" s="125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6"/>
      <c r="AE728" s="122"/>
      <c r="AF728" s="126"/>
      <c r="AG728" s="122"/>
      <c r="AH728" s="126"/>
      <c r="AI728" s="122"/>
      <c r="AJ728" s="32"/>
      <c r="AK728" s="122"/>
      <c r="AL728" s="32"/>
      <c r="AM728" s="122"/>
      <c r="AN728" s="122"/>
      <c r="AO728" s="12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</row>
    <row r="729" spans="1:52" ht="15.75" customHeight="1">
      <c r="A729" s="122"/>
      <c r="B729" s="122"/>
      <c r="C729" s="122"/>
      <c r="D729" s="123"/>
      <c r="E729" s="123"/>
      <c r="F729" s="122"/>
      <c r="G729" s="122"/>
      <c r="H729" s="124"/>
      <c r="I729" s="122"/>
      <c r="J729" s="122"/>
      <c r="K729" s="122"/>
      <c r="L729" s="125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6"/>
      <c r="AE729" s="122"/>
      <c r="AF729" s="126"/>
      <c r="AG729" s="122"/>
      <c r="AH729" s="126"/>
      <c r="AI729" s="122"/>
      <c r="AJ729" s="32"/>
      <c r="AK729" s="122"/>
      <c r="AL729" s="32"/>
      <c r="AM729" s="122"/>
      <c r="AN729" s="122"/>
      <c r="AO729" s="12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</row>
    <row r="730" spans="1:52" ht="15.75" customHeight="1">
      <c r="A730" s="122"/>
      <c r="B730" s="122"/>
      <c r="C730" s="122"/>
      <c r="D730" s="123"/>
      <c r="E730" s="123"/>
      <c r="F730" s="122"/>
      <c r="G730" s="122"/>
      <c r="H730" s="124"/>
      <c r="I730" s="122"/>
      <c r="J730" s="122"/>
      <c r="K730" s="122"/>
      <c r="L730" s="125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6"/>
      <c r="AE730" s="122"/>
      <c r="AF730" s="126"/>
      <c r="AG730" s="122"/>
      <c r="AH730" s="126"/>
      <c r="AI730" s="122"/>
      <c r="AJ730" s="32"/>
      <c r="AK730" s="122"/>
      <c r="AL730" s="32"/>
      <c r="AM730" s="122"/>
      <c r="AN730" s="122"/>
      <c r="AO730" s="12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</row>
    <row r="731" spans="1:52" ht="15.75" customHeight="1">
      <c r="A731" s="122"/>
      <c r="B731" s="122"/>
      <c r="C731" s="122"/>
      <c r="D731" s="123"/>
      <c r="E731" s="123"/>
      <c r="F731" s="122"/>
      <c r="G731" s="122"/>
      <c r="H731" s="124"/>
      <c r="I731" s="122"/>
      <c r="J731" s="122"/>
      <c r="K731" s="122"/>
      <c r="L731" s="125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6"/>
      <c r="AE731" s="122"/>
      <c r="AF731" s="126"/>
      <c r="AG731" s="122"/>
      <c r="AH731" s="126"/>
      <c r="AI731" s="122"/>
      <c r="AJ731" s="32"/>
      <c r="AK731" s="122"/>
      <c r="AL731" s="32"/>
      <c r="AM731" s="122"/>
      <c r="AN731" s="122"/>
      <c r="AO731" s="12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</row>
    <row r="732" spans="1:52" ht="15.75" customHeight="1">
      <c r="A732" s="122"/>
      <c r="B732" s="122"/>
      <c r="C732" s="122"/>
      <c r="D732" s="123"/>
      <c r="E732" s="123"/>
      <c r="F732" s="122"/>
      <c r="G732" s="122"/>
      <c r="H732" s="124"/>
      <c r="I732" s="122"/>
      <c r="J732" s="122"/>
      <c r="K732" s="122"/>
      <c r="L732" s="125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6"/>
      <c r="AE732" s="122"/>
      <c r="AF732" s="126"/>
      <c r="AG732" s="122"/>
      <c r="AH732" s="126"/>
      <c r="AI732" s="122"/>
      <c r="AJ732" s="32"/>
      <c r="AK732" s="122"/>
      <c r="AL732" s="32"/>
      <c r="AM732" s="122"/>
      <c r="AN732" s="122"/>
      <c r="AO732" s="12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</row>
    <row r="733" spans="1:52" ht="15.75" customHeight="1">
      <c r="A733" s="122"/>
      <c r="B733" s="122"/>
      <c r="C733" s="122"/>
      <c r="D733" s="123"/>
      <c r="E733" s="123"/>
      <c r="F733" s="122"/>
      <c r="G733" s="122"/>
      <c r="H733" s="124"/>
      <c r="I733" s="122"/>
      <c r="J733" s="122"/>
      <c r="K733" s="122"/>
      <c r="L733" s="125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6"/>
      <c r="AE733" s="122"/>
      <c r="AF733" s="126"/>
      <c r="AG733" s="122"/>
      <c r="AH733" s="126"/>
      <c r="AI733" s="122"/>
      <c r="AJ733" s="32"/>
      <c r="AK733" s="122"/>
      <c r="AL733" s="32"/>
      <c r="AM733" s="122"/>
      <c r="AN733" s="122"/>
      <c r="AO733" s="12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</row>
    <row r="734" spans="1:52" ht="15.75" customHeight="1">
      <c r="A734" s="122"/>
      <c r="B734" s="122"/>
      <c r="C734" s="122"/>
      <c r="D734" s="123"/>
      <c r="E734" s="123"/>
      <c r="F734" s="122"/>
      <c r="G734" s="122"/>
      <c r="H734" s="124"/>
      <c r="I734" s="122"/>
      <c r="J734" s="122"/>
      <c r="K734" s="122"/>
      <c r="L734" s="125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6"/>
      <c r="AE734" s="122"/>
      <c r="AF734" s="126"/>
      <c r="AG734" s="122"/>
      <c r="AH734" s="126"/>
      <c r="AI734" s="122"/>
      <c r="AJ734" s="32"/>
      <c r="AK734" s="122"/>
      <c r="AL734" s="32"/>
      <c r="AM734" s="122"/>
      <c r="AN734" s="122"/>
      <c r="AO734" s="12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</row>
    <row r="735" spans="1:52" ht="15.75" customHeight="1">
      <c r="A735" s="122"/>
      <c r="B735" s="122"/>
      <c r="C735" s="122"/>
      <c r="D735" s="123"/>
      <c r="E735" s="123"/>
      <c r="F735" s="122"/>
      <c r="G735" s="122"/>
      <c r="H735" s="124"/>
      <c r="I735" s="122"/>
      <c r="J735" s="122"/>
      <c r="K735" s="122"/>
      <c r="L735" s="125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6"/>
      <c r="AE735" s="122"/>
      <c r="AF735" s="126"/>
      <c r="AG735" s="122"/>
      <c r="AH735" s="126"/>
      <c r="AI735" s="122"/>
      <c r="AJ735" s="32"/>
      <c r="AK735" s="122"/>
      <c r="AL735" s="32"/>
      <c r="AM735" s="122"/>
      <c r="AN735" s="122"/>
      <c r="AO735" s="12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</row>
    <row r="736" spans="1:52" ht="15.75" customHeight="1">
      <c r="A736" s="122"/>
      <c r="B736" s="122"/>
      <c r="C736" s="122"/>
      <c r="D736" s="123"/>
      <c r="E736" s="123"/>
      <c r="F736" s="122"/>
      <c r="G736" s="122"/>
      <c r="H736" s="124"/>
      <c r="I736" s="122"/>
      <c r="J736" s="122"/>
      <c r="K736" s="122"/>
      <c r="L736" s="125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6"/>
      <c r="AE736" s="122"/>
      <c r="AF736" s="126"/>
      <c r="AG736" s="122"/>
      <c r="AH736" s="126"/>
      <c r="AI736" s="122"/>
      <c r="AJ736" s="32"/>
      <c r="AK736" s="122"/>
      <c r="AL736" s="32"/>
      <c r="AM736" s="122"/>
      <c r="AN736" s="122"/>
      <c r="AO736" s="12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</row>
    <row r="737" spans="1:52" ht="15.75" customHeight="1">
      <c r="A737" s="122"/>
      <c r="B737" s="122"/>
      <c r="C737" s="122"/>
      <c r="D737" s="123"/>
      <c r="E737" s="123"/>
      <c r="F737" s="122"/>
      <c r="G737" s="122"/>
      <c r="H737" s="124"/>
      <c r="I737" s="122"/>
      <c r="J737" s="122"/>
      <c r="K737" s="122"/>
      <c r="L737" s="125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6"/>
      <c r="AE737" s="122"/>
      <c r="AF737" s="126"/>
      <c r="AG737" s="122"/>
      <c r="AH737" s="126"/>
      <c r="AI737" s="122"/>
      <c r="AJ737" s="32"/>
      <c r="AK737" s="122"/>
      <c r="AL737" s="32"/>
      <c r="AM737" s="122"/>
      <c r="AN737" s="122"/>
      <c r="AO737" s="12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</row>
    <row r="738" spans="1:52" ht="15.75" customHeight="1">
      <c r="A738" s="122"/>
      <c r="B738" s="122"/>
      <c r="C738" s="122"/>
      <c r="D738" s="123"/>
      <c r="E738" s="123"/>
      <c r="F738" s="122"/>
      <c r="G738" s="122"/>
      <c r="H738" s="124"/>
      <c r="I738" s="122"/>
      <c r="J738" s="122"/>
      <c r="K738" s="122"/>
      <c r="L738" s="125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6"/>
      <c r="AE738" s="122"/>
      <c r="AF738" s="126"/>
      <c r="AG738" s="122"/>
      <c r="AH738" s="126"/>
      <c r="AI738" s="122"/>
      <c r="AJ738" s="32"/>
      <c r="AK738" s="122"/>
      <c r="AL738" s="32"/>
      <c r="AM738" s="122"/>
      <c r="AN738" s="122"/>
      <c r="AO738" s="12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</row>
    <row r="739" spans="1:52" ht="15.75" customHeight="1">
      <c r="A739" s="122"/>
      <c r="B739" s="122"/>
      <c r="C739" s="122"/>
      <c r="D739" s="123"/>
      <c r="E739" s="123"/>
      <c r="F739" s="122"/>
      <c r="G739" s="122"/>
      <c r="H739" s="124"/>
      <c r="I739" s="122"/>
      <c r="J739" s="122"/>
      <c r="K739" s="122"/>
      <c r="L739" s="125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6"/>
      <c r="AE739" s="122"/>
      <c r="AF739" s="126"/>
      <c r="AG739" s="122"/>
      <c r="AH739" s="126"/>
      <c r="AI739" s="122"/>
      <c r="AJ739" s="32"/>
      <c r="AK739" s="122"/>
      <c r="AL739" s="32"/>
      <c r="AM739" s="122"/>
      <c r="AN739" s="122"/>
      <c r="AO739" s="12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</row>
    <row r="740" spans="1:52" ht="15.75" customHeight="1">
      <c r="A740" s="122"/>
      <c r="B740" s="122"/>
      <c r="C740" s="122"/>
      <c r="D740" s="123"/>
      <c r="E740" s="123"/>
      <c r="F740" s="122"/>
      <c r="G740" s="122"/>
      <c r="H740" s="124"/>
      <c r="I740" s="122"/>
      <c r="J740" s="122"/>
      <c r="K740" s="122"/>
      <c r="L740" s="125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6"/>
      <c r="AE740" s="122"/>
      <c r="AF740" s="126"/>
      <c r="AG740" s="122"/>
      <c r="AH740" s="126"/>
      <c r="AI740" s="122"/>
      <c r="AJ740" s="32"/>
      <c r="AK740" s="122"/>
      <c r="AL740" s="32"/>
      <c r="AM740" s="122"/>
      <c r="AN740" s="122"/>
      <c r="AO740" s="12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</row>
    <row r="741" spans="1:52" ht="15.75" customHeight="1">
      <c r="A741" s="122"/>
      <c r="B741" s="122"/>
      <c r="C741" s="122"/>
      <c r="D741" s="123"/>
      <c r="E741" s="123"/>
      <c r="F741" s="122"/>
      <c r="G741" s="122"/>
      <c r="H741" s="124"/>
      <c r="I741" s="122"/>
      <c r="J741" s="122"/>
      <c r="K741" s="122"/>
      <c r="L741" s="125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6"/>
      <c r="AE741" s="122"/>
      <c r="AF741" s="126"/>
      <c r="AG741" s="122"/>
      <c r="AH741" s="126"/>
      <c r="AI741" s="122"/>
      <c r="AJ741" s="32"/>
      <c r="AK741" s="122"/>
      <c r="AL741" s="32"/>
      <c r="AM741" s="122"/>
      <c r="AN741" s="122"/>
      <c r="AO741" s="12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</row>
    <row r="742" spans="1:52" ht="15.75" customHeight="1">
      <c r="A742" s="122"/>
      <c r="B742" s="122"/>
      <c r="C742" s="122"/>
      <c r="D742" s="123"/>
      <c r="E742" s="123"/>
      <c r="F742" s="122"/>
      <c r="G742" s="122"/>
      <c r="H742" s="124"/>
      <c r="I742" s="122"/>
      <c r="J742" s="122"/>
      <c r="K742" s="122"/>
      <c r="L742" s="125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6"/>
      <c r="AE742" s="122"/>
      <c r="AF742" s="126"/>
      <c r="AG742" s="122"/>
      <c r="AH742" s="126"/>
      <c r="AI742" s="122"/>
      <c r="AJ742" s="32"/>
      <c r="AK742" s="122"/>
      <c r="AL742" s="32"/>
      <c r="AM742" s="122"/>
      <c r="AN742" s="122"/>
      <c r="AO742" s="12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</row>
    <row r="743" spans="1:52" ht="15.75" customHeight="1">
      <c r="A743" s="122"/>
      <c r="B743" s="122"/>
      <c r="C743" s="122"/>
      <c r="D743" s="123"/>
      <c r="E743" s="123"/>
      <c r="F743" s="122"/>
      <c r="G743" s="122"/>
      <c r="H743" s="124"/>
      <c r="I743" s="122"/>
      <c r="J743" s="122"/>
      <c r="K743" s="122"/>
      <c r="L743" s="125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6"/>
      <c r="AE743" s="122"/>
      <c r="AF743" s="126"/>
      <c r="AG743" s="122"/>
      <c r="AH743" s="126"/>
      <c r="AI743" s="122"/>
      <c r="AJ743" s="32"/>
      <c r="AK743" s="122"/>
      <c r="AL743" s="32"/>
      <c r="AM743" s="122"/>
      <c r="AN743" s="122"/>
      <c r="AO743" s="12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</row>
    <row r="744" spans="1:52" ht="15.75" customHeight="1">
      <c r="A744" s="122"/>
      <c r="B744" s="122"/>
      <c r="C744" s="122"/>
      <c r="D744" s="123"/>
      <c r="E744" s="123"/>
      <c r="F744" s="122"/>
      <c r="G744" s="122"/>
      <c r="H744" s="124"/>
      <c r="I744" s="122"/>
      <c r="J744" s="122"/>
      <c r="K744" s="122"/>
      <c r="L744" s="125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6"/>
      <c r="AE744" s="122"/>
      <c r="AF744" s="126"/>
      <c r="AG744" s="122"/>
      <c r="AH744" s="126"/>
      <c r="AI744" s="122"/>
      <c r="AJ744" s="32"/>
      <c r="AK744" s="122"/>
      <c r="AL744" s="32"/>
      <c r="AM744" s="122"/>
      <c r="AN744" s="122"/>
      <c r="AO744" s="12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</row>
    <row r="745" spans="1:52" ht="15.75" customHeight="1">
      <c r="A745" s="122"/>
      <c r="B745" s="122"/>
      <c r="C745" s="122"/>
      <c r="D745" s="123"/>
      <c r="E745" s="123"/>
      <c r="F745" s="122"/>
      <c r="G745" s="122"/>
      <c r="H745" s="124"/>
      <c r="I745" s="122"/>
      <c r="J745" s="122"/>
      <c r="K745" s="122"/>
      <c r="L745" s="125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6"/>
      <c r="AE745" s="122"/>
      <c r="AF745" s="126"/>
      <c r="AG745" s="122"/>
      <c r="AH745" s="126"/>
      <c r="AI745" s="122"/>
      <c r="AJ745" s="32"/>
      <c r="AK745" s="122"/>
      <c r="AL745" s="32"/>
      <c r="AM745" s="122"/>
      <c r="AN745" s="122"/>
      <c r="AO745" s="12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</row>
    <row r="746" spans="1:52" ht="15.75" customHeight="1">
      <c r="A746" s="122"/>
      <c r="B746" s="122"/>
      <c r="C746" s="122"/>
      <c r="D746" s="123"/>
      <c r="E746" s="123"/>
      <c r="F746" s="122"/>
      <c r="G746" s="122"/>
      <c r="H746" s="124"/>
      <c r="I746" s="122"/>
      <c r="J746" s="122"/>
      <c r="K746" s="122"/>
      <c r="L746" s="125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6"/>
      <c r="AE746" s="122"/>
      <c r="AF746" s="126"/>
      <c r="AG746" s="122"/>
      <c r="AH746" s="126"/>
      <c r="AI746" s="122"/>
      <c r="AJ746" s="32"/>
      <c r="AK746" s="122"/>
      <c r="AL746" s="32"/>
      <c r="AM746" s="122"/>
      <c r="AN746" s="122"/>
      <c r="AO746" s="12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</row>
    <row r="747" spans="1:52" ht="15.75" customHeight="1">
      <c r="A747" s="122"/>
      <c r="B747" s="122"/>
      <c r="C747" s="122"/>
      <c r="D747" s="123"/>
      <c r="E747" s="123"/>
      <c r="F747" s="122"/>
      <c r="G747" s="122"/>
      <c r="H747" s="124"/>
      <c r="I747" s="122"/>
      <c r="J747" s="122"/>
      <c r="K747" s="122"/>
      <c r="L747" s="125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6"/>
      <c r="AE747" s="122"/>
      <c r="AF747" s="126"/>
      <c r="AG747" s="122"/>
      <c r="AH747" s="126"/>
      <c r="AI747" s="122"/>
      <c r="AJ747" s="32"/>
      <c r="AK747" s="122"/>
      <c r="AL747" s="32"/>
      <c r="AM747" s="122"/>
      <c r="AN747" s="122"/>
      <c r="AO747" s="12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</row>
    <row r="748" spans="1:52" ht="15.75" customHeight="1">
      <c r="A748" s="122"/>
      <c r="B748" s="122"/>
      <c r="C748" s="122"/>
      <c r="D748" s="123"/>
      <c r="E748" s="123"/>
      <c r="F748" s="122"/>
      <c r="G748" s="122"/>
      <c r="H748" s="124"/>
      <c r="I748" s="122"/>
      <c r="J748" s="122"/>
      <c r="K748" s="122"/>
      <c r="L748" s="125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6"/>
      <c r="AE748" s="122"/>
      <c r="AF748" s="126"/>
      <c r="AG748" s="122"/>
      <c r="AH748" s="126"/>
      <c r="AI748" s="122"/>
      <c r="AJ748" s="32"/>
      <c r="AK748" s="122"/>
      <c r="AL748" s="32"/>
      <c r="AM748" s="122"/>
      <c r="AN748" s="122"/>
      <c r="AO748" s="122"/>
      <c r="AP748" s="32"/>
      <c r="AQ748" s="32"/>
      <c r="AR748" s="32"/>
      <c r="AS748" s="32"/>
      <c r="AT748" s="32"/>
      <c r="AU748" s="32"/>
      <c r="AV748" s="32"/>
      <c r="AW748" s="32"/>
      <c r="AX748" s="32"/>
      <c r="AY748" s="32"/>
      <c r="AZ748" s="32"/>
    </row>
    <row r="749" spans="1:52" ht="15.75" customHeight="1">
      <c r="A749" s="122"/>
      <c r="B749" s="122"/>
      <c r="C749" s="122"/>
      <c r="D749" s="123"/>
      <c r="E749" s="123"/>
      <c r="F749" s="122"/>
      <c r="G749" s="122"/>
      <c r="H749" s="124"/>
      <c r="I749" s="122"/>
      <c r="J749" s="122"/>
      <c r="K749" s="122"/>
      <c r="L749" s="125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6"/>
      <c r="AE749" s="122"/>
      <c r="AF749" s="126"/>
      <c r="AG749" s="122"/>
      <c r="AH749" s="126"/>
      <c r="AI749" s="122"/>
      <c r="AJ749" s="32"/>
      <c r="AK749" s="122"/>
      <c r="AL749" s="32"/>
      <c r="AM749" s="122"/>
      <c r="AN749" s="122"/>
      <c r="AO749" s="12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</row>
    <row r="750" spans="1:52" ht="15.75" customHeight="1">
      <c r="A750" s="122"/>
      <c r="B750" s="122"/>
      <c r="C750" s="122"/>
      <c r="D750" s="123"/>
      <c r="E750" s="123"/>
      <c r="F750" s="122"/>
      <c r="G750" s="122"/>
      <c r="H750" s="124"/>
      <c r="I750" s="122"/>
      <c r="J750" s="122"/>
      <c r="K750" s="122"/>
      <c r="L750" s="125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6"/>
      <c r="AE750" s="122"/>
      <c r="AF750" s="126"/>
      <c r="AG750" s="122"/>
      <c r="AH750" s="126"/>
      <c r="AI750" s="122"/>
      <c r="AJ750" s="32"/>
      <c r="AK750" s="122"/>
      <c r="AL750" s="32"/>
      <c r="AM750" s="122"/>
      <c r="AN750" s="122"/>
      <c r="AO750" s="12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</row>
    <row r="751" spans="1:52" ht="15.75" customHeight="1">
      <c r="A751" s="122"/>
      <c r="B751" s="122"/>
      <c r="C751" s="122"/>
      <c r="D751" s="123"/>
      <c r="E751" s="123"/>
      <c r="F751" s="122"/>
      <c r="G751" s="122"/>
      <c r="H751" s="124"/>
      <c r="I751" s="122"/>
      <c r="J751" s="122"/>
      <c r="K751" s="122"/>
      <c r="L751" s="125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6"/>
      <c r="AE751" s="122"/>
      <c r="AF751" s="126"/>
      <c r="AG751" s="122"/>
      <c r="AH751" s="126"/>
      <c r="AI751" s="122"/>
      <c r="AJ751" s="32"/>
      <c r="AK751" s="122"/>
      <c r="AL751" s="32"/>
      <c r="AM751" s="122"/>
      <c r="AN751" s="122"/>
      <c r="AO751" s="12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</row>
    <row r="752" spans="1:52" ht="15.75" customHeight="1">
      <c r="A752" s="122"/>
      <c r="B752" s="122"/>
      <c r="C752" s="122"/>
      <c r="D752" s="123"/>
      <c r="E752" s="123"/>
      <c r="F752" s="122"/>
      <c r="G752" s="122"/>
      <c r="H752" s="124"/>
      <c r="I752" s="122"/>
      <c r="J752" s="122"/>
      <c r="K752" s="122"/>
      <c r="L752" s="125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6"/>
      <c r="AE752" s="122"/>
      <c r="AF752" s="126"/>
      <c r="AG752" s="122"/>
      <c r="AH752" s="126"/>
      <c r="AI752" s="122"/>
      <c r="AJ752" s="32"/>
      <c r="AK752" s="122"/>
      <c r="AL752" s="32"/>
      <c r="AM752" s="122"/>
      <c r="AN752" s="122"/>
      <c r="AO752" s="122"/>
      <c r="AP752" s="32"/>
      <c r="AQ752" s="32"/>
      <c r="AR752" s="32"/>
      <c r="AS752" s="32"/>
      <c r="AT752" s="32"/>
      <c r="AU752" s="32"/>
      <c r="AV752" s="32"/>
      <c r="AW752" s="32"/>
      <c r="AX752" s="32"/>
      <c r="AY752" s="32"/>
      <c r="AZ752" s="32"/>
    </row>
    <row r="753" spans="1:52" ht="15.75" customHeight="1">
      <c r="A753" s="122"/>
      <c r="B753" s="122"/>
      <c r="C753" s="122"/>
      <c r="D753" s="123"/>
      <c r="E753" s="123"/>
      <c r="F753" s="122"/>
      <c r="G753" s="122"/>
      <c r="H753" s="124"/>
      <c r="I753" s="122"/>
      <c r="J753" s="122"/>
      <c r="K753" s="122"/>
      <c r="L753" s="125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6"/>
      <c r="AE753" s="122"/>
      <c r="AF753" s="126"/>
      <c r="AG753" s="122"/>
      <c r="AH753" s="126"/>
      <c r="AI753" s="122"/>
      <c r="AJ753" s="32"/>
      <c r="AK753" s="122"/>
      <c r="AL753" s="32"/>
      <c r="AM753" s="122"/>
      <c r="AN753" s="122"/>
      <c r="AO753" s="122"/>
      <c r="AP753" s="32"/>
      <c r="AQ753" s="32"/>
      <c r="AR753" s="32"/>
      <c r="AS753" s="32"/>
      <c r="AT753" s="32"/>
      <c r="AU753" s="32"/>
      <c r="AV753" s="32"/>
      <c r="AW753" s="32"/>
      <c r="AX753" s="32"/>
      <c r="AY753" s="32"/>
      <c r="AZ753" s="32"/>
    </row>
    <row r="754" spans="1:52" ht="15.75" customHeight="1">
      <c r="A754" s="122"/>
      <c r="B754" s="122"/>
      <c r="C754" s="122"/>
      <c r="D754" s="123"/>
      <c r="E754" s="123"/>
      <c r="F754" s="122"/>
      <c r="G754" s="122"/>
      <c r="H754" s="124"/>
      <c r="I754" s="122"/>
      <c r="J754" s="122"/>
      <c r="K754" s="122"/>
      <c r="L754" s="125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6"/>
      <c r="AE754" s="122"/>
      <c r="AF754" s="126"/>
      <c r="AG754" s="122"/>
      <c r="AH754" s="126"/>
      <c r="AI754" s="122"/>
      <c r="AJ754" s="32"/>
      <c r="AK754" s="122"/>
      <c r="AL754" s="32"/>
      <c r="AM754" s="122"/>
      <c r="AN754" s="122"/>
      <c r="AO754" s="12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</row>
    <row r="755" spans="1:52" ht="15.75" customHeight="1">
      <c r="A755" s="122"/>
      <c r="B755" s="122"/>
      <c r="C755" s="122"/>
      <c r="D755" s="123"/>
      <c r="E755" s="123"/>
      <c r="F755" s="122"/>
      <c r="G755" s="122"/>
      <c r="H755" s="124"/>
      <c r="I755" s="122"/>
      <c r="J755" s="122"/>
      <c r="K755" s="122"/>
      <c r="L755" s="125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6"/>
      <c r="AE755" s="122"/>
      <c r="AF755" s="126"/>
      <c r="AG755" s="122"/>
      <c r="AH755" s="126"/>
      <c r="AI755" s="122"/>
      <c r="AJ755" s="32"/>
      <c r="AK755" s="122"/>
      <c r="AL755" s="32"/>
      <c r="AM755" s="122"/>
      <c r="AN755" s="122"/>
      <c r="AO755" s="12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</row>
    <row r="756" spans="1:52" ht="15.75" customHeight="1">
      <c r="A756" s="122"/>
      <c r="B756" s="122"/>
      <c r="C756" s="122"/>
      <c r="D756" s="123"/>
      <c r="E756" s="123"/>
      <c r="F756" s="122"/>
      <c r="G756" s="122"/>
      <c r="H756" s="124"/>
      <c r="I756" s="122"/>
      <c r="J756" s="122"/>
      <c r="K756" s="122"/>
      <c r="L756" s="125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6"/>
      <c r="AE756" s="122"/>
      <c r="AF756" s="126"/>
      <c r="AG756" s="122"/>
      <c r="AH756" s="126"/>
      <c r="AI756" s="122"/>
      <c r="AJ756" s="32"/>
      <c r="AK756" s="122"/>
      <c r="AL756" s="32"/>
      <c r="AM756" s="122"/>
      <c r="AN756" s="122"/>
      <c r="AO756" s="12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</row>
    <row r="757" spans="1:52" ht="15.75" customHeight="1">
      <c r="A757" s="122"/>
      <c r="B757" s="122"/>
      <c r="C757" s="122"/>
      <c r="D757" s="123"/>
      <c r="E757" s="123"/>
      <c r="F757" s="122"/>
      <c r="G757" s="122"/>
      <c r="H757" s="124"/>
      <c r="I757" s="122"/>
      <c r="J757" s="122"/>
      <c r="K757" s="122"/>
      <c r="L757" s="125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6"/>
      <c r="AE757" s="122"/>
      <c r="AF757" s="126"/>
      <c r="AG757" s="122"/>
      <c r="AH757" s="126"/>
      <c r="AI757" s="122"/>
      <c r="AJ757" s="32"/>
      <c r="AK757" s="122"/>
      <c r="AL757" s="32"/>
      <c r="AM757" s="122"/>
      <c r="AN757" s="122"/>
      <c r="AO757" s="12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</row>
    <row r="758" spans="1:52" ht="15.75" customHeight="1">
      <c r="A758" s="122"/>
      <c r="B758" s="122"/>
      <c r="C758" s="122"/>
      <c r="D758" s="123"/>
      <c r="E758" s="123"/>
      <c r="F758" s="122"/>
      <c r="G758" s="122"/>
      <c r="H758" s="124"/>
      <c r="I758" s="122"/>
      <c r="J758" s="122"/>
      <c r="K758" s="122"/>
      <c r="L758" s="125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6"/>
      <c r="AE758" s="122"/>
      <c r="AF758" s="126"/>
      <c r="AG758" s="122"/>
      <c r="AH758" s="126"/>
      <c r="AI758" s="122"/>
      <c r="AJ758" s="32"/>
      <c r="AK758" s="122"/>
      <c r="AL758" s="32"/>
      <c r="AM758" s="122"/>
      <c r="AN758" s="122"/>
      <c r="AO758" s="12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</row>
    <row r="759" spans="1:52" ht="15.75" customHeight="1">
      <c r="A759" s="122"/>
      <c r="B759" s="122"/>
      <c r="C759" s="122"/>
      <c r="D759" s="123"/>
      <c r="E759" s="123"/>
      <c r="F759" s="122"/>
      <c r="G759" s="122"/>
      <c r="H759" s="124"/>
      <c r="I759" s="122"/>
      <c r="J759" s="122"/>
      <c r="K759" s="122"/>
      <c r="L759" s="125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6"/>
      <c r="AE759" s="122"/>
      <c r="AF759" s="126"/>
      <c r="AG759" s="122"/>
      <c r="AH759" s="126"/>
      <c r="AI759" s="122"/>
      <c r="AJ759" s="32"/>
      <c r="AK759" s="122"/>
      <c r="AL759" s="32"/>
      <c r="AM759" s="122"/>
      <c r="AN759" s="122"/>
      <c r="AO759" s="12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</row>
    <row r="760" spans="1:52" ht="15.75" customHeight="1">
      <c r="A760" s="122"/>
      <c r="B760" s="122"/>
      <c r="C760" s="122"/>
      <c r="D760" s="123"/>
      <c r="E760" s="123"/>
      <c r="F760" s="122"/>
      <c r="G760" s="122"/>
      <c r="H760" s="124"/>
      <c r="I760" s="122"/>
      <c r="J760" s="122"/>
      <c r="K760" s="122"/>
      <c r="L760" s="125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6"/>
      <c r="AE760" s="122"/>
      <c r="AF760" s="126"/>
      <c r="AG760" s="122"/>
      <c r="AH760" s="126"/>
      <c r="AI760" s="122"/>
      <c r="AJ760" s="32"/>
      <c r="AK760" s="122"/>
      <c r="AL760" s="32"/>
      <c r="AM760" s="122"/>
      <c r="AN760" s="122"/>
      <c r="AO760" s="12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</row>
    <row r="761" spans="1:52" ht="15.75" customHeight="1">
      <c r="A761" s="122"/>
      <c r="B761" s="122"/>
      <c r="C761" s="122"/>
      <c r="D761" s="123"/>
      <c r="E761" s="123"/>
      <c r="F761" s="122"/>
      <c r="G761" s="122"/>
      <c r="H761" s="124"/>
      <c r="I761" s="122"/>
      <c r="J761" s="122"/>
      <c r="K761" s="122"/>
      <c r="L761" s="125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6"/>
      <c r="AE761" s="122"/>
      <c r="AF761" s="126"/>
      <c r="AG761" s="122"/>
      <c r="AH761" s="126"/>
      <c r="AI761" s="122"/>
      <c r="AJ761" s="32"/>
      <c r="AK761" s="122"/>
      <c r="AL761" s="32"/>
      <c r="AM761" s="122"/>
      <c r="AN761" s="122"/>
      <c r="AO761" s="12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</row>
    <row r="762" spans="1:52" ht="15.75" customHeight="1">
      <c r="A762" s="122"/>
      <c r="B762" s="122"/>
      <c r="C762" s="122"/>
      <c r="D762" s="123"/>
      <c r="E762" s="123"/>
      <c r="F762" s="122"/>
      <c r="G762" s="122"/>
      <c r="H762" s="124"/>
      <c r="I762" s="122"/>
      <c r="J762" s="122"/>
      <c r="K762" s="122"/>
      <c r="L762" s="125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6"/>
      <c r="AE762" s="122"/>
      <c r="AF762" s="126"/>
      <c r="AG762" s="122"/>
      <c r="AH762" s="126"/>
      <c r="AI762" s="122"/>
      <c r="AJ762" s="32"/>
      <c r="AK762" s="122"/>
      <c r="AL762" s="32"/>
      <c r="AM762" s="122"/>
      <c r="AN762" s="122"/>
      <c r="AO762" s="12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</row>
    <row r="763" spans="1:52" ht="15.75" customHeight="1">
      <c r="A763" s="122"/>
      <c r="B763" s="122"/>
      <c r="C763" s="122"/>
      <c r="D763" s="123"/>
      <c r="E763" s="123"/>
      <c r="F763" s="122"/>
      <c r="G763" s="122"/>
      <c r="H763" s="124"/>
      <c r="I763" s="122"/>
      <c r="J763" s="122"/>
      <c r="K763" s="122"/>
      <c r="L763" s="125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6"/>
      <c r="AE763" s="122"/>
      <c r="AF763" s="126"/>
      <c r="AG763" s="122"/>
      <c r="AH763" s="126"/>
      <c r="AI763" s="122"/>
      <c r="AJ763" s="32"/>
      <c r="AK763" s="122"/>
      <c r="AL763" s="32"/>
      <c r="AM763" s="122"/>
      <c r="AN763" s="122"/>
      <c r="AO763" s="12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</row>
    <row r="764" spans="1:52" ht="15.75" customHeight="1">
      <c r="A764" s="122"/>
      <c r="B764" s="122"/>
      <c r="C764" s="122"/>
      <c r="D764" s="123"/>
      <c r="E764" s="123"/>
      <c r="F764" s="122"/>
      <c r="G764" s="122"/>
      <c r="H764" s="124"/>
      <c r="I764" s="122"/>
      <c r="J764" s="122"/>
      <c r="K764" s="122"/>
      <c r="L764" s="125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6"/>
      <c r="AE764" s="122"/>
      <c r="AF764" s="126"/>
      <c r="AG764" s="122"/>
      <c r="AH764" s="126"/>
      <c r="AI764" s="122"/>
      <c r="AJ764" s="32"/>
      <c r="AK764" s="122"/>
      <c r="AL764" s="32"/>
      <c r="AM764" s="122"/>
      <c r="AN764" s="122"/>
      <c r="AO764" s="12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</row>
    <row r="765" spans="1:52" ht="15.75" customHeight="1">
      <c r="A765" s="122"/>
      <c r="B765" s="122"/>
      <c r="C765" s="122"/>
      <c r="D765" s="123"/>
      <c r="E765" s="123"/>
      <c r="F765" s="122"/>
      <c r="G765" s="122"/>
      <c r="H765" s="124"/>
      <c r="I765" s="122"/>
      <c r="J765" s="122"/>
      <c r="K765" s="122"/>
      <c r="L765" s="125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6"/>
      <c r="AE765" s="122"/>
      <c r="AF765" s="126"/>
      <c r="AG765" s="122"/>
      <c r="AH765" s="126"/>
      <c r="AI765" s="122"/>
      <c r="AJ765" s="32"/>
      <c r="AK765" s="122"/>
      <c r="AL765" s="32"/>
      <c r="AM765" s="122"/>
      <c r="AN765" s="122"/>
      <c r="AO765" s="12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</row>
    <row r="766" spans="1:52" ht="15.75" customHeight="1">
      <c r="A766" s="122"/>
      <c r="B766" s="122"/>
      <c r="C766" s="122"/>
      <c r="D766" s="123"/>
      <c r="E766" s="123"/>
      <c r="F766" s="122"/>
      <c r="G766" s="122"/>
      <c r="H766" s="124"/>
      <c r="I766" s="122"/>
      <c r="J766" s="122"/>
      <c r="K766" s="122"/>
      <c r="L766" s="125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6"/>
      <c r="AE766" s="122"/>
      <c r="AF766" s="126"/>
      <c r="AG766" s="122"/>
      <c r="AH766" s="126"/>
      <c r="AI766" s="122"/>
      <c r="AJ766" s="32"/>
      <c r="AK766" s="122"/>
      <c r="AL766" s="32"/>
      <c r="AM766" s="122"/>
      <c r="AN766" s="122"/>
      <c r="AO766" s="12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</row>
    <row r="767" spans="1:52" ht="15.75" customHeight="1">
      <c r="A767" s="122"/>
      <c r="B767" s="122"/>
      <c r="C767" s="122"/>
      <c r="D767" s="123"/>
      <c r="E767" s="123"/>
      <c r="F767" s="122"/>
      <c r="G767" s="122"/>
      <c r="H767" s="124"/>
      <c r="I767" s="122"/>
      <c r="J767" s="122"/>
      <c r="K767" s="122"/>
      <c r="L767" s="125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6"/>
      <c r="AE767" s="122"/>
      <c r="AF767" s="126"/>
      <c r="AG767" s="122"/>
      <c r="AH767" s="126"/>
      <c r="AI767" s="122"/>
      <c r="AJ767" s="32"/>
      <c r="AK767" s="122"/>
      <c r="AL767" s="32"/>
      <c r="AM767" s="122"/>
      <c r="AN767" s="122"/>
      <c r="AO767" s="12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</row>
    <row r="768" spans="1:52" ht="15.75" customHeight="1">
      <c r="A768" s="122"/>
      <c r="B768" s="122"/>
      <c r="C768" s="122"/>
      <c r="D768" s="123"/>
      <c r="E768" s="123"/>
      <c r="F768" s="122"/>
      <c r="G768" s="122"/>
      <c r="H768" s="124"/>
      <c r="I768" s="122"/>
      <c r="J768" s="122"/>
      <c r="K768" s="122"/>
      <c r="L768" s="125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6"/>
      <c r="AE768" s="122"/>
      <c r="AF768" s="126"/>
      <c r="AG768" s="122"/>
      <c r="AH768" s="126"/>
      <c r="AI768" s="122"/>
      <c r="AJ768" s="32"/>
      <c r="AK768" s="122"/>
      <c r="AL768" s="32"/>
      <c r="AM768" s="122"/>
      <c r="AN768" s="122"/>
      <c r="AO768" s="12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</row>
    <row r="769" spans="1:52" ht="15.75" customHeight="1">
      <c r="A769" s="122"/>
      <c r="B769" s="122"/>
      <c r="C769" s="122"/>
      <c r="D769" s="123"/>
      <c r="E769" s="123"/>
      <c r="F769" s="122"/>
      <c r="G769" s="122"/>
      <c r="H769" s="124"/>
      <c r="I769" s="122"/>
      <c r="J769" s="122"/>
      <c r="K769" s="122"/>
      <c r="L769" s="125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6"/>
      <c r="AE769" s="122"/>
      <c r="AF769" s="126"/>
      <c r="AG769" s="122"/>
      <c r="AH769" s="126"/>
      <c r="AI769" s="122"/>
      <c r="AJ769" s="32"/>
      <c r="AK769" s="122"/>
      <c r="AL769" s="32"/>
      <c r="AM769" s="122"/>
      <c r="AN769" s="122"/>
      <c r="AO769" s="12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</row>
    <row r="770" spans="1:52" ht="15.75" customHeight="1">
      <c r="A770" s="122"/>
      <c r="B770" s="122"/>
      <c r="C770" s="122"/>
      <c r="D770" s="123"/>
      <c r="E770" s="123"/>
      <c r="F770" s="122"/>
      <c r="G770" s="122"/>
      <c r="H770" s="124"/>
      <c r="I770" s="122"/>
      <c r="J770" s="122"/>
      <c r="K770" s="122"/>
      <c r="L770" s="125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6"/>
      <c r="AE770" s="122"/>
      <c r="AF770" s="126"/>
      <c r="AG770" s="122"/>
      <c r="AH770" s="126"/>
      <c r="AI770" s="122"/>
      <c r="AJ770" s="32"/>
      <c r="AK770" s="122"/>
      <c r="AL770" s="32"/>
      <c r="AM770" s="122"/>
      <c r="AN770" s="122"/>
      <c r="AO770" s="122"/>
      <c r="AP770" s="32"/>
      <c r="AQ770" s="32"/>
      <c r="AR770" s="32"/>
      <c r="AS770" s="32"/>
      <c r="AT770" s="32"/>
      <c r="AU770" s="32"/>
      <c r="AV770" s="32"/>
      <c r="AW770" s="32"/>
      <c r="AX770" s="32"/>
      <c r="AY770" s="32"/>
      <c r="AZ770" s="32"/>
    </row>
    <row r="771" spans="1:52" ht="15.75" customHeight="1">
      <c r="A771" s="122"/>
      <c r="B771" s="122"/>
      <c r="C771" s="122"/>
      <c r="D771" s="123"/>
      <c r="E771" s="123"/>
      <c r="F771" s="122"/>
      <c r="G771" s="122"/>
      <c r="H771" s="124"/>
      <c r="I771" s="122"/>
      <c r="J771" s="122"/>
      <c r="K771" s="122"/>
      <c r="L771" s="125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6"/>
      <c r="AE771" s="122"/>
      <c r="AF771" s="126"/>
      <c r="AG771" s="122"/>
      <c r="AH771" s="126"/>
      <c r="AI771" s="122"/>
      <c r="AJ771" s="32"/>
      <c r="AK771" s="122"/>
      <c r="AL771" s="32"/>
      <c r="AM771" s="122"/>
      <c r="AN771" s="122"/>
      <c r="AO771" s="122"/>
      <c r="AP771" s="32"/>
      <c r="AQ771" s="32"/>
      <c r="AR771" s="32"/>
      <c r="AS771" s="32"/>
      <c r="AT771" s="32"/>
      <c r="AU771" s="32"/>
      <c r="AV771" s="32"/>
      <c r="AW771" s="32"/>
      <c r="AX771" s="32"/>
      <c r="AY771" s="32"/>
      <c r="AZ771" s="32"/>
    </row>
    <row r="772" spans="1:52" ht="15.75" customHeight="1">
      <c r="A772" s="122"/>
      <c r="B772" s="122"/>
      <c r="C772" s="122"/>
      <c r="D772" s="123"/>
      <c r="E772" s="123"/>
      <c r="F772" s="122"/>
      <c r="G772" s="122"/>
      <c r="H772" s="124"/>
      <c r="I772" s="122"/>
      <c r="J772" s="122"/>
      <c r="K772" s="122"/>
      <c r="L772" s="125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6"/>
      <c r="AE772" s="122"/>
      <c r="AF772" s="126"/>
      <c r="AG772" s="122"/>
      <c r="AH772" s="126"/>
      <c r="AI772" s="122"/>
      <c r="AJ772" s="32"/>
      <c r="AK772" s="122"/>
      <c r="AL772" s="32"/>
      <c r="AM772" s="122"/>
      <c r="AN772" s="122"/>
      <c r="AO772" s="12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</row>
    <row r="773" spans="1:52" ht="15.75" customHeight="1">
      <c r="A773" s="122"/>
      <c r="B773" s="122"/>
      <c r="C773" s="122"/>
      <c r="D773" s="123"/>
      <c r="E773" s="123"/>
      <c r="F773" s="122"/>
      <c r="G773" s="122"/>
      <c r="H773" s="124"/>
      <c r="I773" s="122"/>
      <c r="J773" s="122"/>
      <c r="K773" s="122"/>
      <c r="L773" s="125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6"/>
      <c r="AE773" s="122"/>
      <c r="AF773" s="126"/>
      <c r="AG773" s="122"/>
      <c r="AH773" s="126"/>
      <c r="AI773" s="122"/>
      <c r="AJ773" s="32"/>
      <c r="AK773" s="122"/>
      <c r="AL773" s="32"/>
      <c r="AM773" s="122"/>
      <c r="AN773" s="122"/>
      <c r="AO773" s="12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</row>
    <row r="774" spans="1:52" ht="15.75" customHeight="1">
      <c r="A774" s="122"/>
      <c r="B774" s="122"/>
      <c r="C774" s="122"/>
      <c r="D774" s="123"/>
      <c r="E774" s="123"/>
      <c r="F774" s="122"/>
      <c r="G774" s="122"/>
      <c r="H774" s="124"/>
      <c r="I774" s="122"/>
      <c r="J774" s="122"/>
      <c r="K774" s="122"/>
      <c r="L774" s="125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6"/>
      <c r="AE774" s="122"/>
      <c r="AF774" s="126"/>
      <c r="AG774" s="122"/>
      <c r="AH774" s="126"/>
      <c r="AI774" s="122"/>
      <c r="AJ774" s="32"/>
      <c r="AK774" s="122"/>
      <c r="AL774" s="32"/>
      <c r="AM774" s="122"/>
      <c r="AN774" s="122"/>
      <c r="AO774" s="12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</row>
    <row r="775" spans="1:52" ht="15.75" customHeight="1">
      <c r="A775" s="122"/>
      <c r="B775" s="122"/>
      <c r="C775" s="122"/>
      <c r="D775" s="123"/>
      <c r="E775" s="123"/>
      <c r="F775" s="122"/>
      <c r="G775" s="122"/>
      <c r="H775" s="124"/>
      <c r="I775" s="122"/>
      <c r="J775" s="122"/>
      <c r="K775" s="122"/>
      <c r="L775" s="125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6"/>
      <c r="AE775" s="122"/>
      <c r="AF775" s="126"/>
      <c r="AG775" s="122"/>
      <c r="AH775" s="126"/>
      <c r="AI775" s="122"/>
      <c r="AJ775" s="32"/>
      <c r="AK775" s="122"/>
      <c r="AL775" s="32"/>
      <c r="AM775" s="122"/>
      <c r="AN775" s="122"/>
      <c r="AO775" s="12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</row>
    <row r="776" spans="1:52" ht="15.75" customHeight="1">
      <c r="A776" s="122"/>
      <c r="B776" s="122"/>
      <c r="C776" s="122"/>
      <c r="D776" s="123"/>
      <c r="E776" s="123"/>
      <c r="F776" s="122"/>
      <c r="G776" s="122"/>
      <c r="H776" s="124"/>
      <c r="I776" s="122"/>
      <c r="J776" s="122"/>
      <c r="K776" s="122"/>
      <c r="L776" s="125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6"/>
      <c r="AE776" s="122"/>
      <c r="AF776" s="126"/>
      <c r="AG776" s="122"/>
      <c r="AH776" s="126"/>
      <c r="AI776" s="122"/>
      <c r="AJ776" s="32"/>
      <c r="AK776" s="122"/>
      <c r="AL776" s="32"/>
      <c r="AM776" s="122"/>
      <c r="AN776" s="122"/>
      <c r="AO776" s="12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</row>
    <row r="777" spans="1:52" ht="15.75" customHeight="1">
      <c r="A777" s="122"/>
      <c r="B777" s="122"/>
      <c r="C777" s="122"/>
      <c r="D777" s="123"/>
      <c r="E777" s="123"/>
      <c r="F777" s="122"/>
      <c r="G777" s="122"/>
      <c r="H777" s="124"/>
      <c r="I777" s="122"/>
      <c r="J777" s="122"/>
      <c r="K777" s="122"/>
      <c r="L777" s="125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6"/>
      <c r="AE777" s="122"/>
      <c r="AF777" s="126"/>
      <c r="AG777" s="122"/>
      <c r="AH777" s="126"/>
      <c r="AI777" s="122"/>
      <c r="AJ777" s="32"/>
      <c r="AK777" s="122"/>
      <c r="AL777" s="32"/>
      <c r="AM777" s="122"/>
      <c r="AN777" s="122"/>
      <c r="AO777" s="12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</row>
    <row r="778" spans="1:52" ht="15.75" customHeight="1">
      <c r="A778" s="122"/>
      <c r="B778" s="122"/>
      <c r="C778" s="122"/>
      <c r="D778" s="123"/>
      <c r="E778" s="123"/>
      <c r="F778" s="122"/>
      <c r="G778" s="122"/>
      <c r="H778" s="124"/>
      <c r="I778" s="122"/>
      <c r="J778" s="122"/>
      <c r="K778" s="122"/>
      <c r="L778" s="125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6"/>
      <c r="AE778" s="122"/>
      <c r="AF778" s="126"/>
      <c r="AG778" s="122"/>
      <c r="AH778" s="126"/>
      <c r="AI778" s="122"/>
      <c r="AJ778" s="32"/>
      <c r="AK778" s="122"/>
      <c r="AL778" s="32"/>
      <c r="AM778" s="122"/>
      <c r="AN778" s="122"/>
      <c r="AO778" s="12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</row>
    <row r="779" spans="1:52" ht="15.75" customHeight="1">
      <c r="A779" s="122"/>
      <c r="B779" s="122"/>
      <c r="C779" s="122"/>
      <c r="D779" s="123"/>
      <c r="E779" s="123"/>
      <c r="F779" s="122"/>
      <c r="G779" s="122"/>
      <c r="H779" s="124"/>
      <c r="I779" s="122"/>
      <c r="J779" s="122"/>
      <c r="K779" s="122"/>
      <c r="L779" s="125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6"/>
      <c r="AE779" s="122"/>
      <c r="AF779" s="126"/>
      <c r="AG779" s="122"/>
      <c r="AH779" s="126"/>
      <c r="AI779" s="122"/>
      <c r="AJ779" s="32"/>
      <c r="AK779" s="122"/>
      <c r="AL779" s="32"/>
      <c r="AM779" s="122"/>
      <c r="AN779" s="122"/>
      <c r="AO779" s="12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</row>
    <row r="780" spans="1:52" ht="15.75" customHeight="1">
      <c r="A780" s="122"/>
      <c r="B780" s="122"/>
      <c r="C780" s="122"/>
      <c r="D780" s="123"/>
      <c r="E780" s="123"/>
      <c r="F780" s="122"/>
      <c r="G780" s="122"/>
      <c r="H780" s="124"/>
      <c r="I780" s="122"/>
      <c r="J780" s="122"/>
      <c r="K780" s="122"/>
      <c r="L780" s="125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6"/>
      <c r="AE780" s="122"/>
      <c r="AF780" s="126"/>
      <c r="AG780" s="122"/>
      <c r="AH780" s="126"/>
      <c r="AI780" s="122"/>
      <c r="AJ780" s="32"/>
      <c r="AK780" s="122"/>
      <c r="AL780" s="32"/>
      <c r="AM780" s="122"/>
      <c r="AN780" s="122"/>
      <c r="AO780" s="12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</row>
    <row r="781" spans="1:52" ht="15.75" customHeight="1">
      <c r="A781" s="122"/>
      <c r="B781" s="122"/>
      <c r="C781" s="122"/>
      <c r="D781" s="123"/>
      <c r="E781" s="123"/>
      <c r="F781" s="122"/>
      <c r="G781" s="122"/>
      <c r="H781" s="124"/>
      <c r="I781" s="122"/>
      <c r="J781" s="122"/>
      <c r="K781" s="122"/>
      <c r="L781" s="125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6"/>
      <c r="AE781" s="122"/>
      <c r="AF781" s="126"/>
      <c r="AG781" s="122"/>
      <c r="AH781" s="126"/>
      <c r="AI781" s="122"/>
      <c r="AJ781" s="32"/>
      <c r="AK781" s="122"/>
      <c r="AL781" s="32"/>
      <c r="AM781" s="122"/>
      <c r="AN781" s="122"/>
      <c r="AO781" s="12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</row>
    <row r="782" spans="1:52" ht="15.75" customHeight="1">
      <c r="A782" s="122"/>
      <c r="B782" s="122"/>
      <c r="C782" s="122"/>
      <c r="D782" s="123"/>
      <c r="E782" s="123"/>
      <c r="F782" s="122"/>
      <c r="G782" s="122"/>
      <c r="H782" s="124"/>
      <c r="I782" s="122"/>
      <c r="J782" s="122"/>
      <c r="K782" s="122"/>
      <c r="L782" s="125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6"/>
      <c r="AE782" s="122"/>
      <c r="AF782" s="126"/>
      <c r="AG782" s="122"/>
      <c r="AH782" s="126"/>
      <c r="AI782" s="122"/>
      <c r="AJ782" s="32"/>
      <c r="AK782" s="122"/>
      <c r="AL782" s="32"/>
      <c r="AM782" s="122"/>
      <c r="AN782" s="122"/>
      <c r="AO782" s="12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</row>
    <row r="783" spans="1:52" ht="15.75" customHeight="1">
      <c r="A783" s="122"/>
      <c r="B783" s="122"/>
      <c r="C783" s="122"/>
      <c r="D783" s="123"/>
      <c r="E783" s="123"/>
      <c r="F783" s="122"/>
      <c r="G783" s="122"/>
      <c r="H783" s="124"/>
      <c r="I783" s="122"/>
      <c r="J783" s="122"/>
      <c r="K783" s="122"/>
      <c r="L783" s="125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6"/>
      <c r="AE783" s="122"/>
      <c r="AF783" s="126"/>
      <c r="AG783" s="122"/>
      <c r="AH783" s="126"/>
      <c r="AI783" s="122"/>
      <c r="AJ783" s="32"/>
      <c r="AK783" s="122"/>
      <c r="AL783" s="32"/>
      <c r="AM783" s="122"/>
      <c r="AN783" s="122"/>
      <c r="AO783" s="12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</row>
    <row r="784" spans="1:52" ht="15.75" customHeight="1">
      <c r="A784" s="122"/>
      <c r="B784" s="122"/>
      <c r="C784" s="122"/>
      <c r="D784" s="123"/>
      <c r="E784" s="123"/>
      <c r="F784" s="122"/>
      <c r="G784" s="122"/>
      <c r="H784" s="124"/>
      <c r="I784" s="122"/>
      <c r="J784" s="122"/>
      <c r="K784" s="122"/>
      <c r="L784" s="125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6"/>
      <c r="AE784" s="122"/>
      <c r="AF784" s="126"/>
      <c r="AG784" s="122"/>
      <c r="AH784" s="126"/>
      <c r="AI784" s="122"/>
      <c r="AJ784" s="32"/>
      <c r="AK784" s="122"/>
      <c r="AL784" s="32"/>
      <c r="AM784" s="122"/>
      <c r="AN784" s="122"/>
      <c r="AO784" s="12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</row>
    <row r="785" spans="1:52" ht="15.75" customHeight="1">
      <c r="A785" s="122"/>
      <c r="B785" s="122"/>
      <c r="C785" s="122"/>
      <c r="D785" s="123"/>
      <c r="E785" s="123"/>
      <c r="F785" s="122"/>
      <c r="G785" s="122"/>
      <c r="H785" s="124"/>
      <c r="I785" s="122"/>
      <c r="J785" s="122"/>
      <c r="K785" s="122"/>
      <c r="L785" s="125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6"/>
      <c r="AE785" s="122"/>
      <c r="AF785" s="126"/>
      <c r="AG785" s="122"/>
      <c r="AH785" s="126"/>
      <c r="AI785" s="122"/>
      <c r="AJ785" s="32"/>
      <c r="AK785" s="122"/>
      <c r="AL785" s="32"/>
      <c r="AM785" s="122"/>
      <c r="AN785" s="122"/>
      <c r="AO785" s="12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</row>
    <row r="786" spans="1:52" ht="15.75" customHeight="1">
      <c r="A786" s="122"/>
      <c r="B786" s="122"/>
      <c r="C786" s="122"/>
      <c r="D786" s="123"/>
      <c r="E786" s="123"/>
      <c r="F786" s="122"/>
      <c r="G786" s="122"/>
      <c r="H786" s="124"/>
      <c r="I786" s="122"/>
      <c r="J786" s="122"/>
      <c r="K786" s="122"/>
      <c r="L786" s="125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6"/>
      <c r="AE786" s="122"/>
      <c r="AF786" s="126"/>
      <c r="AG786" s="122"/>
      <c r="AH786" s="126"/>
      <c r="AI786" s="122"/>
      <c r="AJ786" s="32"/>
      <c r="AK786" s="122"/>
      <c r="AL786" s="32"/>
      <c r="AM786" s="122"/>
      <c r="AN786" s="122"/>
      <c r="AO786" s="12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</row>
    <row r="787" spans="1:52" ht="15.75" customHeight="1">
      <c r="A787" s="122"/>
      <c r="B787" s="122"/>
      <c r="C787" s="122"/>
      <c r="D787" s="123"/>
      <c r="E787" s="123"/>
      <c r="F787" s="122"/>
      <c r="G787" s="122"/>
      <c r="H787" s="124"/>
      <c r="I787" s="122"/>
      <c r="J787" s="122"/>
      <c r="K787" s="122"/>
      <c r="L787" s="125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6"/>
      <c r="AE787" s="122"/>
      <c r="AF787" s="126"/>
      <c r="AG787" s="122"/>
      <c r="AH787" s="126"/>
      <c r="AI787" s="122"/>
      <c r="AJ787" s="32"/>
      <c r="AK787" s="122"/>
      <c r="AL787" s="32"/>
      <c r="AM787" s="122"/>
      <c r="AN787" s="122"/>
      <c r="AO787" s="12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</row>
    <row r="788" spans="1:52" ht="15.75" customHeight="1">
      <c r="A788" s="122"/>
      <c r="B788" s="122"/>
      <c r="C788" s="122"/>
      <c r="D788" s="123"/>
      <c r="E788" s="123"/>
      <c r="F788" s="122"/>
      <c r="G788" s="122"/>
      <c r="H788" s="124"/>
      <c r="I788" s="122"/>
      <c r="J788" s="122"/>
      <c r="K788" s="122"/>
      <c r="L788" s="125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6"/>
      <c r="AE788" s="122"/>
      <c r="AF788" s="126"/>
      <c r="AG788" s="122"/>
      <c r="AH788" s="126"/>
      <c r="AI788" s="122"/>
      <c r="AJ788" s="32"/>
      <c r="AK788" s="122"/>
      <c r="AL788" s="32"/>
      <c r="AM788" s="122"/>
      <c r="AN788" s="122"/>
      <c r="AO788" s="12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</row>
    <row r="789" spans="1:52" ht="15.75" customHeight="1">
      <c r="A789" s="122"/>
      <c r="B789" s="122"/>
      <c r="C789" s="122"/>
      <c r="D789" s="123"/>
      <c r="E789" s="123"/>
      <c r="F789" s="122"/>
      <c r="G789" s="122"/>
      <c r="H789" s="124"/>
      <c r="I789" s="122"/>
      <c r="J789" s="122"/>
      <c r="K789" s="122"/>
      <c r="L789" s="125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6"/>
      <c r="AE789" s="122"/>
      <c r="AF789" s="126"/>
      <c r="AG789" s="122"/>
      <c r="AH789" s="126"/>
      <c r="AI789" s="122"/>
      <c r="AJ789" s="32"/>
      <c r="AK789" s="122"/>
      <c r="AL789" s="32"/>
      <c r="AM789" s="122"/>
      <c r="AN789" s="122"/>
      <c r="AO789" s="12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</row>
    <row r="790" spans="1:52" ht="15.75" customHeight="1">
      <c r="A790" s="122"/>
      <c r="B790" s="122"/>
      <c r="C790" s="122"/>
      <c r="D790" s="123"/>
      <c r="E790" s="123"/>
      <c r="F790" s="122"/>
      <c r="G790" s="122"/>
      <c r="H790" s="124"/>
      <c r="I790" s="122"/>
      <c r="J790" s="122"/>
      <c r="K790" s="122"/>
      <c r="L790" s="125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6"/>
      <c r="AE790" s="122"/>
      <c r="AF790" s="126"/>
      <c r="AG790" s="122"/>
      <c r="AH790" s="126"/>
      <c r="AI790" s="122"/>
      <c r="AJ790" s="32"/>
      <c r="AK790" s="122"/>
      <c r="AL790" s="32"/>
      <c r="AM790" s="122"/>
      <c r="AN790" s="122"/>
      <c r="AO790" s="12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</row>
    <row r="791" spans="1:52" ht="15.75" customHeight="1">
      <c r="A791" s="122"/>
      <c r="B791" s="122"/>
      <c r="C791" s="122"/>
      <c r="D791" s="123"/>
      <c r="E791" s="123"/>
      <c r="F791" s="122"/>
      <c r="G791" s="122"/>
      <c r="H791" s="124"/>
      <c r="I791" s="122"/>
      <c r="J791" s="122"/>
      <c r="K791" s="122"/>
      <c r="L791" s="125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6"/>
      <c r="AE791" s="122"/>
      <c r="AF791" s="126"/>
      <c r="AG791" s="122"/>
      <c r="AH791" s="126"/>
      <c r="AI791" s="122"/>
      <c r="AJ791" s="32"/>
      <c r="AK791" s="122"/>
      <c r="AL791" s="32"/>
      <c r="AM791" s="122"/>
      <c r="AN791" s="122"/>
      <c r="AO791" s="12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</row>
    <row r="792" spans="1:52" ht="15.75" customHeight="1">
      <c r="A792" s="122"/>
      <c r="B792" s="122"/>
      <c r="C792" s="122"/>
      <c r="D792" s="123"/>
      <c r="E792" s="123"/>
      <c r="F792" s="122"/>
      <c r="G792" s="122"/>
      <c r="H792" s="124"/>
      <c r="I792" s="122"/>
      <c r="J792" s="122"/>
      <c r="K792" s="122"/>
      <c r="L792" s="125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6"/>
      <c r="AE792" s="122"/>
      <c r="AF792" s="126"/>
      <c r="AG792" s="122"/>
      <c r="AH792" s="126"/>
      <c r="AI792" s="122"/>
      <c r="AJ792" s="32"/>
      <c r="AK792" s="122"/>
      <c r="AL792" s="32"/>
      <c r="AM792" s="122"/>
      <c r="AN792" s="122"/>
      <c r="AO792" s="12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</row>
    <row r="793" spans="1:52" ht="15.75" customHeight="1">
      <c r="A793" s="122"/>
      <c r="B793" s="122"/>
      <c r="C793" s="122"/>
      <c r="D793" s="123"/>
      <c r="E793" s="123"/>
      <c r="F793" s="122"/>
      <c r="G793" s="122"/>
      <c r="H793" s="124"/>
      <c r="I793" s="122"/>
      <c r="J793" s="122"/>
      <c r="K793" s="122"/>
      <c r="L793" s="125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6"/>
      <c r="AE793" s="122"/>
      <c r="AF793" s="126"/>
      <c r="AG793" s="122"/>
      <c r="AH793" s="126"/>
      <c r="AI793" s="122"/>
      <c r="AJ793" s="32"/>
      <c r="AK793" s="122"/>
      <c r="AL793" s="32"/>
      <c r="AM793" s="122"/>
      <c r="AN793" s="122"/>
      <c r="AO793" s="12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</row>
    <row r="794" spans="1:52" ht="15.75" customHeight="1">
      <c r="A794" s="122"/>
      <c r="B794" s="122"/>
      <c r="C794" s="122"/>
      <c r="D794" s="123"/>
      <c r="E794" s="123"/>
      <c r="F794" s="122"/>
      <c r="G794" s="122"/>
      <c r="H794" s="124"/>
      <c r="I794" s="122"/>
      <c r="J794" s="122"/>
      <c r="K794" s="122"/>
      <c r="L794" s="125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6"/>
      <c r="AE794" s="122"/>
      <c r="AF794" s="126"/>
      <c r="AG794" s="122"/>
      <c r="AH794" s="126"/>
      <c r="AI794" s="122"/>
      <c r="AJ794" s="32"/>
      <c r="AK794" s="122"/>
      <c r="AL794" s="32"/>
      <c r="AM794" s="122"/>
      <c r="AN794" s="122"/>
      <c r="AO794" s="12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</row>
    <row r="795" spans="1:52" ht="15.75" customHeight="1">
      <c r="A795" s="122"/>
      <c r="B795" s="122"/>
      <c r="C795" s="122"/>
      <c r="D795" s="123"/>
      <c r="E795" s="123"/>
      <c r="F795" s="122"/>
      <c r="G795" s="122"/>
      <c r="H795" s="124"/>
      <c r="I795" s="122"/>
      <c r="J795" s="122"/>
      <c r="K795" s="122"/>
      <c r="L795" s="125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6"/>
      <c r="AE795" s="122"/>
      <c r="AF795" s="126"/>
      <c r="AG795" s="122"/>
      <c r="AH795" s="126"/>
      <c r="AI795" s="122"/>
      <c r="AJ795" s="32"/>
      <c r="AK795" s="122"/>
      <c r="AL795" s="32"/>
      <c r="AM795" s="122"/>
      <c r="AN795" s="122"/>
      <c r="AO795" s="12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</row>
    <row r="796" spans="1:52" ht="15.75" customHeight="1">
      <c r="A796" s="122"/>
      <c r="B796" s="122"/>
      <c r="C796" s="122"/>
      <c r="D796" s="123"/>
      <c r="E796" s="123"/>
      <c r="F796" s="122"/>
      <c r="G796" s="122"/>
      <c r="H796" s="124"/>
      <c r="I796" s="122"/>
      <c r="J796" s="122"/>
      <c r="K796" s="122"/>
      <c r="L796" s="125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6"/>
      <c r="AE796" s="122"/>
      <c r="AF796" s="126"/>
      <c r="AG796" s="122"/>
      <c r="AH796" s="126"/>
      <c r="AI796" s="122"/>
      <c r="AJ796" s="32"/>
      <c r="AK796" s="122"/>
      <c r="AL796" s="32"/>
      <c r="AM796" s="122"/>
      <c r="AN796" s="122"/>
      <c r="AO796" s="12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</row>
    <row r="797" spans="1:52" ht="15.75" customHeight="1">
      <c r="A797" s="122"/>
      <c r="B797" s="122"/>
      <c r="C797" s="122"/>
      <c r="D797" s="123"/>
      <c r="E797" s="123"/>
      <c r="F797" s="122"/>
      <c r="G797" s="122"/>
      <c r="H797" s="124"/>
      <c r="I797" s="122"/>
      <c r="J797" s="122"/>
      <c r="K797" s="122"/>
      <c r="L797" s="125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6"/>
      <c r="AE797" s="122"/>
      <c r="AF797" s="126"/>
      <c r="AG797" s="122"/>
      <c r="AH797" s="126"/>
      <c r="AI797" s="122"/>
      <c r="AJ797" s="32"/>
      <c r="AK797" s="122"/>
      <c r="AL797" s="32"/>
      <c r="AM797" s="122"/>
      <c r="AN797" s="122"/>
      <c r="AO797" s="12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</row>
    <row r="798" spans="1:52" ht="15.75" customHeight="1">
      <c r="A798" s="122"/>
      <c r="B798" s="122"/>
      <c r="C798" s="122"/>
      <c r="D798" s="123"/>
      <c r="E798" s="123"/>
      <c r="F798" s="122"/>
      <c r="G798" s="122"/>
      <c r="H798" s="124"/>
      <c r="I798" s="122"/>
      <c r="J798" s="122"/>
      <c r="K798" s="122"/>
      <c r="L798" s="125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6"/>
      <c r="AE798" s="122"/>
      <c r="AF798" s="126"/>
      <c r="AG798" s="122"/>
      <c r="AH798" s="126"/>
      <c r="AI798" s="122"/>
      <c r="AJ798" s="32"/>
      <c r="AK798" s="122"/>
      <c r="AL798" s="32"/>
      <c r="AM798" s="122"/>
      <c r="AN798" s="122"/>
      <c r="AO798" s="12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</row>
    <row r="799" spans="1:52" ht="15.75" customHeight="1">
      <c r="A799" s="122"/>
      <c r="B799" s="122"/>
      <c r="C799" s="122"/>
      <c r="D799" s="123"/>
      <c r="E799" s="123"/>
      <c r="F799" s="122"/>
      <c r="G799" s="122"/>
      <c r="H799" s="124"/>
      <c r="I799" s="122"/>
      <c r="J799" s="122"/>
      <c r="K799" s="122"/>
      <c r="L799" s="125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6"/>
      <c r="AE799" s="122"/>
      <c r="AF799" s="126"/>
      <c r="AG799" s="122"/>
      <c r="AH799" s="126"/>
      <c r="AI799" s="122"/>
      <c r="AJ799" s="32"/>
      <c r="AK799" s="122"/>
      <c r="AL799" s="32"/>
      <c r="AM799" s="122"/>
      <c r="AN799" s="122"/>
      <c r="AO799" s="12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</row>
    <row r="800" spans="1:52" ht="15.75" customHeight="1">
      <c r="A800" s="122"/>
      <c r="B800" s="122"/>
      <c r="C800" s="122"/>
      <c r="D800" s="123"/>
      <c r="E800" s="123"/>
      <c r="F800" s="122"/>
      <c r="G800" s="122"/>
      <c r="H800" s="124"/>
      <c r="I800" s="122"/>
      <c r="J800" s="122"/>
      <c r="K800" s="122"/>
      <c r="L800" s="125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6"/>
      <c r="AE800" s="122"/>
      <c r="AF800" s="126"/>
      <c r="AG800" s="122"/>
      <c r="AH800" s="126"/>
      <c r="AI800" s="122"/>
      <c r="AJ800" s="32"/>
      <c r="AK800" s="122"/>
      <c r="AL800" s="32"/>
      <c r="AM800" s="122"/>
      <c r="AN800" s="122"/>
      <c r="AO800" s="12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</row>
    <row r="801" spans="1:52" ht="15.75" customHeight="1">
      <c r="A801" s="122"/>
      <c r="B801" s="122"/>
      <c r="C801" s="122"/>
      <c r="D801" s="123"/>
      <c r="E801" s="123"/>
      <c r="F801" s="122"/>
      <c r="G801" s="122"/>
      <c r="H801" s="124"/>
      <c r="I801" s="122"/>
      <c r="J801" s="122"/>
      <c r="K801" s="122"/>
      <c r="L801" s="125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6"/>
      <c r="AE801" s="122"/>
      <c r="AF801" s="126"/>
      <c r="AG801" s="122"/>
      <c r="AH801" s="126"/>
      <c r="AI801" s="122"/>
      <c r="AJ801" s="32"/>
      <c r="AK801" s="122"/>
      <c r="AL801" s="32"/>
      <c r="AM801" s="122"/>
      <c r="AN801" s="122"/>
      <c r="AO801" s="12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</row>
    <row r="802" spans="1:52" ht="15.75" customHeight="1">
      <c r="A802" s="122"/>
      <c r="B802" s="122"/>
      <c r="C802" s="122"/>
      <c r="D802" s="123"/>
      <c r="E802" s="123"/>
      <c r="F802" s="122"/>
      <c r="G802" s="122"/>
      <c r="H802" s="124"/>
      <c r="I802" s="122"/>
      <c r="J802" s="122"/>
      <c r="K802" s="122"/>
      <c r="L802" s="125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6"/>
      <c r="AE802" s="122"/>
      <c r="AF802" s="126"/>
      <c r="AG802" s="122"/>
      <c r="AH802" s="126"/>
      <c r="AI802" s="122"/>
      <c r="AJ802" s="32"/>
      <c r="AK802" s="122"/>
      <c r="AL802" s="32"/>
      <c r="AM802" s="122"/>
      <c r="AN802" s="122"/>
      <c r="AO802" s="12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</row>
    <row r="803" spans="1:52" ht="15.75" customHeight="1">
      <c r="A803" s="122"/>
      <c r="B803" s="122"/>
      <c r="C803" s="122"/>
      <c r="D803" s="123"/>
      <c r="E803" s="123"/>
      <c r="F803" s="122"/>
      <c r="G803" s="122"/>
      <c r="H803" s="124"/>
      <c r="I803" s="122"/>
      <c r="J803" s="122"/>
      <c r="K803" s="122"/>
      <c r="L803" s="125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6"/>
      <c r="AE803" s="122"/>
      <c r="AF803" s="126"/>
      <c r="AG803" s="122"/>
      <c r="AH803" s="126"/>
      <c r="AI803" s="122"/>
      <c r="AJ803" s="32"/>
      <c r="AK803" s="122"/>
      <c r="AL803" s="32"/>
      <c r="AM803" s="122"/>
      <c r="AN803" s="122"/>
      <c r="AO803" s="12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</row>
    <row r="804" spans="1:52" ht="15.75" customHeight="1">
      <c r="A804" s="122"/>
      <c r="B804" s="122"/>
      <c r="C804" s="122"/>
      <c r="D804" s="123"/>
      <c r="E804" s="123"/>
      <c r="F804" s="122"/>
      <c r="G804" s="122"/>
      <c r="H804" s="124"/>
      <c r="I804" s="122"/>
      <c r="J804" s="122"/>
      <c r="K804" s="122"/>
      <c r="L804" s="125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6"/>
      <c r="AE804" s="122"/>
      <c r="AF804" s="126"/>
      <c r="AG804" s="122"/>
      <c r="AH804" s="126"/>
      <c r="AI804" s="122"/>
      <c r="AJ804" s="32"/>
      <c r="AK804" s="122"/>
      <c r="AL804" s="32"/>
      <c r="AM804" s="122"/>
      <c r="AN804" s="122"/>
      <c r="AO804" s="12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</row>
    <row r="805" spans="1:52" ht="15.75" customHeight="1">
      <c r="A805" s="122"/>
      <c r="B805" s="122"/>
      <c r="C805" s="122"/>
      <c r="D805" s="123"/>
      <c r="E805" s="123"/>
      <c r="F805" s="122"/>
      <c r="G805" s="122"/>
      <c r="H805" s="124"/>
      <c r="I805" s="122"/>
      <c r="J805" s="122"/>
      <c r="K805" s="122"/>
      <c r="L805" s="125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6"/>
      <c r="AE805" s="122"/>
      <c r="AF805" s="126"/>
      <c r="AG805" s="122"/>
      <c r="AH805" s="126"/>
      <c r="AI805" s="122"/>
      <c r="AJ805" s="32"/>
      <c r="AK805" s="122"/>
      <c r="AL805" s="32"/>
      <c r="AM805" s="122"/>
      <c r="AN805" s="122"/>
      <c r="AO805" s="122"/>
      <c r="AP805" s="32"/>
      <c r="AQ805" s="32"/>
      <c r="AR805" s="32"/>
      <c r="AS805" s="32"/>
      <c r="AT805" s="32"/>
      <c r="AU805" s="32"/>
      <c r="AV805" s="32"/>
      <c r="AW805" s="32"/>
      <c r="AX805" s="32"/>
      <c r="AY805" s="32"/>
      <c r="AZ805" s="32"/>
    </row>
    <row r="806" spans="1:52" ht="15.75" customHeight="1">
      <c r="A806" s="122"/>
      <c r="B806" s="122"/>
      <c r="C806" s="122"/>
      <c r="D806" s="123"/>
      <c r="E806" s="123"/>
      <c r="F806" s="122"/>
      <c r="G806" s="122"/>
      <c r="H806" s="124"/>
      <c r="I806" s="122"/>
      <c r="J806" s="122"/>
      <c r="K806" s="122"/>
      <c r="L806" s="125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6"/>
      <c r="AE806" s="122"/>
      <c r="AF806" s="126"/>
      <c r="AG806" s="122"/>
      <c r="AH806" s="126"/>
      <c r="AI806" s="122"/>
      <c r="AJ806" s="32"/>
      <c r="AK806" s="122"/>
      <c r="AL806" s="32"/>
      <c r="AM806" s="122"/>
      <c r="AN806" s="122"/>
      <c r="AO806" s="122"/>
      <c r="AP806" s="32"/>
      <c r="AQ806" s="32"/>
      <c r="AR806" s="32"/>
      <c r="AS806" s="32"/>
      <c r="AT806" s="32"/>
      <c r="AU806" s="32"/>
      <c r="AV806" s="32"/>
      <c r="AW806" s="32"/>
      <c r="AX806" s="32"/>
      <c r="AY806" s="32"/>
      <c r="AZ806" s="32"/>
    </row>
    <row r="807" spans="1:52" ht="15.75" customHeight="1">
      <c r="A807" s="122"/>
      <c r="B807" s="122"/>
      <c r="C807" s="122"/>
      <c r="D807" s="123"/>
      <c r="E807" s="123"/>
      <c r="F807" s="122"/>
      <c r="G807" s="122"/>
      <c r="H807" s="124"/>
      <c r="I807" s="122"/>
      <c r="J807" s="122"/>
      <c r="K807" s="122"/>
      <c r="L807" s="125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6"/>
      <c r="AE807" s="122"/>
      <c r="AF807" s="126"/>
      <c r="AG807" s="122"/>
      <c r="AH807" s="126"/>
      <c r="AI807" s="122"/>
      <c r="AJ807" s="32"/>
      <c r="AK807" s="122"/>
      <c r="AL807" s="32"/>
      <c r="AM807" s="122"/>
      <c r="AN807" s="122"/>
      <c r="AO807" s="12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</row>
    <row r="808" spans="1:52" ht="15.75" customHeight="1">
      <c r="A808" s="122"/>
      <c r="B808" s="122"/>
      <c r="C808" s="122"/>
      <c r="D808" s="123"/>
      <c r="E808" s="123"/>
      <c r="F808" s="122"/>
      <c r="G808" s="122"/>
      <c r="H808" s="124"/>
      <c r="I808" s="122"/>
      <c r="J808" s="122"/>
      <c r="K808" s="122"/>
      <c r="L808" s="125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6"/>
      <c r="AE808" s="122"/>
      <c r="AF808" s="126"/>
      <c r="AG808" s="122"/>
      <c r="AH808" s="126"/>
      <c r="AI808" s="122"/>
      <c r="AJ808" s="32"/>
      <c r="AK808" s="122"/>
      <c r="AL808" s="32"/>
      <c r="AM808" s="122"/>
      <c r="AN808" s="122"/>
      <c r="AO808" s="12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</row>
    <row r="809" spans="1:52" ht="15.75" customHeight="1">
      <c r="A809" s="122"/>
      <c r="B809" s="122"/>
      <c r="C809" s="122"/>
      <c r="D809" s="123"/>
      <c r="E809" s="123"/>
      <c r="F809" s="122"/>
      <c r="G809" s="122"/>
      <c r="H809" s="124"/>
      <c r="I809" s="122"/>
      <c r="J809" s="122"/>
      <c r="K809" s="122"/>
      <c r="L809" s="125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6"/>
      <c r="AE809" s="122"/>
      <c r="AF809" s="126"/>
      <c r="AG809" s="122"/>
      <c r="AH809" s="126"/>
      <c r="AI809" s="122"/>
      <c r="AJ809" s="32"/>
      <c r="AK809" s="122"/>
      <c r="AL809" s="32"/>
      <c r="AM809" s="122"/>
      <c r="AN809" s="122"/>
      <c r="AO809" s="12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</row>
    <row r="810" spans="1:52" ht="15.75" customHeight="1">
      <c r="A810" s="122"/>
      <c r="B810" s="122"/>
      <c r="C810" s="122"/>
      <c r="D810" s="123"/>
      <c r="E810" s="123"/>
      <c r="F810" s="122"/>
      <c r="G810" s="122"/>
      <c r="H810" s="124"/>
      <c r="I810" s="122"/>
      <c r="J810" s="122"/>
      <c r="K810" s="122"/>
      <c r="L810" s="125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6"/>
      <c r="AE810" s="122"/>
      <c r="AF810" s="126"/>
      <c r="AG810" s="122"/>
      <c r="AH810" s="126"/>
      <c r="AI810" s="122"/>
      <c r="AJ810" s="32"/>
      <c r="AK810" s="122"/>
      <c r="AL810" s="32"/>
      <c r="AM810" s="122"/>
      <c r="AN810" s="122"/>
      <c r="AO810" s="12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</row>
    <row r="811" spans="1:52" ht="15.75" customHeight="1">
      <c r="A811" s="122"/>
      <c r="B811" s="122"/>
      <c r="C811" s="122"/>
      <c r="D811" s="123"/>
      <c r="E811" s="123"/>
      <c r="F811" s="122"/>
      <c r="G811" s="122"/>
      <c r="H811" s="124"/>
      <c r="I811" s="122"/>
      <c r="J811" s="122"/>
      <c r="K811" s="122"/>
      <c r="L811" s="125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6"/>
      <c r="AE811" s="122"/>
      <c r="AF811" s="126"/>
      <c r="AG811" s="122"/>
      <c r="AH811" s="126"/>
      <c r="AI811" s="122"/>
      <c r="AJ811" s="32"/>
      <c r="AK811" s="122"/>
      <c r="AL811" s="32"/>
      <c r="AM811" s="122"/>
      <c r="AN811" s="122"/>
      <c r="AO811" s="12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</row>
    <row r="812" spans="1:52" ht="15.75" customHeight="1">
      <c r="A812" s="122"/>
      <c r="B812" s="122"/>
      <c r="C812" s="122"/>
      <c r="D812" s="123"/>
      <c r="E812" s="123"/>
      <c r="F812" s="122"/>
      <c r="G812" s="122"/>
      <c r="H812" s="124"/>
      <c r="I812" s="122"/>
      <c r="J812" s="122"/>
      <c r="K812" s="122"/>
      <c r="L812" s="125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6"/>
      <c r="AE812" s="122"/>
      <c r="AF812" s="126"/>
      <c r="AG812" s="122"/>
      <c r="AH812" s="126"/>
      <c r="AI812" s="122"/>
      <c r="AJ812" s="32"/>
      <c r="AK812" s="122"/>
      <c r="AL812" s="32"/>
      <c r="AM812" s="122"/>
      <c r="AN812" s="122"/>
      <c r="AO812" s="12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</row>
    <row r="813" spans="1:52" ht="15.75" customHeight="1">
      <c r="A813" s="122"/>
      <c r="B813" s="122"/>
      <c r="C813" s="122"/>
      <c r="D813" s="123"/>
      <c r="E813" s="123"/>
      <c r="F813" s="122"/>
      <c r="G813" s="122"/>
      <c r="H813" s="124"/>
      <c r="I813" s="122"/>
      <c r="J813" s="122"/>
      <c r="K813" s="122"/>
      <c r="L813" s="125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6"/>
      <c r="AE813" s="122"/>
      <c r="AF813" s="126"/>
      <c r="AG813" s="122"/>
      <c r="AH813" s="126"/>
      <c r="AI813" s="122"/>
      <c r="AJ813" s="32"/>
      <c r="AK813" s="122"/>
      <c r="AL813" s="32"/>
      <c r="AM813" s="122"/>
      <c r="AN813" s="122"/>
      <c r="AO813" s="12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</row>
    <row r="814" spans="1:52" ht="15.75" customHeight="1">
      <c r="A814" s="122"/>
      <c r="B814" s="122"/>
      <c r="C814" s="122"/>
      <c r="D814" s="123"/>
      <c r="E814" s="123"/>
      <c r="F814" s="122"/>
      <c r="G814" s="122"/>
      <c r="H814" s="124"/>
      <c r="I814" s="122"/>
      <c r="J814" s="122"/>
      <c r="K814" s="122"/>
      <c r="L814" s="125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6"/>
      <c r="AE814" s="122"/>
      <c r="AF814" s="126"/>
      <c r="AG814" s="122"/>
      <c r="AH814" s="126"/>
      <c r="AI814" s="122"/>
      <c r="AJ814" s="32"/>
      <c r="AK814" s="122"/>
      <c r="AL814" s="32"/>
      <c r="AM814" s="122"/>
      <c r="AN814" s="122"/>
      <c r="AO814" s="12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</row>
    <row r="815" spans="1:52" ht="15.75" customHeight="1">
      <c r="A815" s="122"/>
      <c r="B815" s="122"/>
      <c r="C815" s="122"/>
      <c r="D815" s="123"/>
      <c r="E815" s="123"/>
      <c r="F815" s="122"/>
      <c r="G815" s="122"/>
      <c r="H815" s="124"/>
      <c r="I815" s="122"/>
      <c r="J815" s="122"/>
      <c r="K815" s="122"/>
      <c r="L815" s="125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6"/>
      <c r="AE815" s="122"/>
      <c r="AF815" s="126"/>
      <c r="AG815" s="122"/>
      <c r="AH815" s="126"/>
      <c r="AI815" s="122"/>
      <c r="AJ815" s="32"/>
      <c r="AK815" s="122"/>
      <c r="AL815" s="32"/>
      <c r="AM815" s="122"/>
      <c r="AN815" s="122"/>
      <c r="AO815" s="12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</row>
    <row r="816" spans="1:52" ht="15.75" customHeight="1">
      <c r="A816" s="122"/>
      <c r="B816" s="122"/>
      <c r="C816" s="122"/>
      <c r="D816" s="123"/>
      <c r="E816" s="123"/>
      <c r="F816" s="122"/>
      <c r="G816" s="122"/>
      <c r="H816" s="124"/>
      <c r="I816" s="122"/>
      <c r="J816" s="122"/>
      <c r="K816" s="122"/>
      <c r="L816" s="125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6"/>
      <c r="AE816" s="122"/>
      <c r="AF816" s="126"/>
      <c r="AG816" s="122"/>
      <c r="AH816" s="126"/>
      <c r="AI816" s="122"/>
      <c r="AJ816" s="32"/>
      <c r="AK816" s="122"/>
      <c r="AL816" s="32"/>
      <c r="AM816" s="122"/>
      <c r="AN816" s="122"/>
      <c r="AO816" s="12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</row>
    <row r="817" spans="1:52" ht="15.75" customHeight="1">
      <c r="A817" s="122"/>
      <c r="B817" s="122"/>
      <c r="C817" s="122"/>
      <c r="D817" s="123"/>
      <c r="E817" s="123"/>
      <c r="F817" s="122"/>
      <c r="G817" s="122"/>
      <c r="H817" s="124"/>
      <c r="I817" s="122"/>
      <c r="J817" s="122"/>
      <c r="K817" s="122"/>
      <c r="L817" s="125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6"/>
      <c r="AE817" s="122"/>
      <c r="AF817" s="126"/>
      <c r="AG817" s="122"/>
      <c r="AH817" s="126"/>
      <c r="AI817" s="122"/>
      <c r="AJ817" s="32"/>
      <c r="AK817" s="122"/>
      <c r="AL817" s="32"/>
      <c r="AM817" s="122"/>
      <c r="AN817" s="122"/>
      <c r="AO817" s="12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</row>
    <row r="818" spans="1:52" ht="15.75" customHeight="1">
      <c r="A818" s="122"/>
      <c r="B818" s="122"/>
      <c r="C818" s="122"/>
      <c r="D818" s="123"/>
      <c r="E818" s="123"/>
      <c r="F818" s="122"/>
      <c r="G818" s="122"/>
      <c r="H818" s="124"/>
      <c r="I818" s="122"/>
      <c r="J818" s="122"/>
      <c r="K818" s="122"/>
      <c r="L818" s="125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6"/>
      <c r="AE818" s="122"/>
      <c r="AF818" s="126"/>
      <c r="AG818" s="122"/>
      <c r="AH818" s="126"/>
      <c r="AI818" s="122"/>
      <c r="AJ818" s="32"/>
      <c r="AK818" s="122"/>
      <c r="AL818" s="32"/>
      <c r="AM818" s="122"/>
      <c r="AN818" s="122"/>
      <c r="AO818" s="12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</row>
    <row r="819" spans="1:52" ht="15.75" customHeight="1">
      <c r="A819" s="122"/>
      <c r="B819" s="122"/>
      <c r="C819" s="122"/>
      <c r="D819" s="123"/>
      <c r="E819" s="123"/>
      <c r="F819" s="122"/>
      <c r="G819" s="122"/>
      <c r="H819" s="124"/>
      <c r="I819" s="122"/>
      <c r="J819" s="122"/>
      <c r="K819" s="122"/>
      <c r="L819" s="125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6"/>
      <c r="AE819" s="122"/>
      <c r="AF819" s="126"/>
      <c r="AG819" s="122"/>
      <c r="AH819" s="126"/>
      <c r="AI819" s="122"/>
      <c r="AJ819" s="32"/>
      <c r="AK819" s="122"/>
      <c r="AL819" s="32"/>
      <c r="AM819" s="122"/>
      <c r="AN819" s="122"/>
      <c r="AO819" s="122"/>
      <c r="AP819" s="32"/>
      <c r="AQ819" s="32"/>
      <c r="AR819" s="32"/>
      <c r="AS819" s="32"/>
      <c r="AT819" s="32"/>
      <c r="AU819" s="32"/>
      <c r="AV819" s="32"/>
      <c r="AW819" s="32"/>
      <c r="AX819" s="32"/>
      <c r="AY819" s="32"/>
      <c r="AZ819" s="32"/>
    </row>
    <row r="820" spans="1:52" ht="15.75" customHeight="1">
      <c r="A820" s="122"/>
      <c r="B820" s="122"/>
      <c r="C820" s="122"/>
      <c r="D820" s="123"/>
      <c r="E820" s="123"/>
      <c r="F820" s="122"/>
      <c r="G820" s="122"/>
      <c r="H820" s="124"/>
      <c r="I820" s="122"/>
      <c r="J820" s="122"/>
      <c r="K820" s="122"/>
      <c r="L820" s="125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6"/>
      <c r="AE820" s="122"/>
      <c r="AF820" s="126"/>
      <c r="AG820" s="122"/>
      <c r="AH820" s="126"/>
      <c r="AI820" s="122"/>
      <c r="AJ820" s="32"/>
      <c r="AK820" s="122"/>
      <c r="AL820" s="32"/>
      <c r="AM820" s="122"/>
      <c r="AN820" s="122"/>
      <c r="AO820" s="122"/>
      <c r="AP820" s="32"/>
      <c r="AQ820" s="32"/>
      <c r="AR820" s="32"/>
      <c r="AS820" s="32"/>
      <c r="AT820" s="32"/>
      <c r="AU820" s="32"/>
      <c r="AV820" s="32"/>
      <c r="AW820" s="32"/>
      <c r="AX820" s="32"/>
      <c r="AY820" s="32"/>
      <c r="AZ820" s="32"/>
    </row>
    <row r="821" spans="1:52" ht="15.75" customHeight="1">
      <c r="A821" s="122"/>
      <c r="B821" s="122"/>
      <c r="C821" s="122"/>
      <c r="D821" s="123"/>
      <c r="E821" s="123"/>
      <c r="F821" s="122"/>
      <c r="G821" s="122"/>
      <c r="H821" s="124"/>
      <c r="I821" s="122"/>
      <c r="J821" s="122"/>
      <c r="K821" s="122"/>
      <c r="L821" s="125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6"/>
      <c r="AE821" s="122"/>
      <c r="AF821" s="126"/>
      <c r="AG821" s="122"/>
      <c r="AH821" s="126"/>
      <c r="AI821" s="122"/>
      <c r="AJ821" s="32"/>
      <c r="AK821" s="122"/>
      <c r="AL821" s="32"/>
      <c r="AM821" s="122"/>
      <c r="AN821" s="122"/>
      <c r="AO821" s="12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</row>
    <row r="822" spans="1:52" ht="15.75" customHeight="1">
      <c r="A822" s="122"/>
      <c r="B822" s="122"/>
      <c r="C822" s="122"/>
      <c r="D822" s="123"/>
      <c r="E822" s="123"/>
      <c r="F822" s="122"/>
      <c r="G822" s="122"/>
      <c r="H822" s="124"/>
      <c r="I822" s="122"/>
      <c r="J822" s="122"/>
      <c r="K822" s="122"/>
      <c r="L822" s="125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6"/>
      <c r="AE822" s="122"/>
      <c r="AF822" s="126"/>
      <c r="AG822" s="122"/>
      <c r="AH822" s="126"/>
      <c r="AI822" s="122"/>
      <c r="AJ822" s="32"/>
      <c r="AK822" s="122"/>
      <c r="AL822" s="32"/>
      <c r="AM822" s="122"/>
      <c r="AN822" s="122"/>
      <c r="AO822" s="12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</row>
    <row r="823" spans="1:52" ht="15.75" customHeight="1">
      <c r="A823" s="122"/>
      <c r="B823" s="122"/>
      <c r="C823" s="122"/>
      <c r="D823" s="123"/>
      <c r="E823" s="123"/>
      <c r="F823" s="122"/>
      <c r="G823" s="122"/>
      <c r="H823" s="124"/>
      <c r="I823" s="122"/>
      <c r="J823" s="122"/>
      <c r="K823" s="122"/>
      <c r="L823" s="125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6"/>
      <c r="AE823" s="122"/>
      <c r="AF823" s="126"/>
      <c r="AG823" s="122"/>
      <c r="AH823" s="126"/>
      <c r="AI823" s="122"/>
      <c r="AJ823" s="32"/>
      <c r="AK823" s="122"/>
      <c r="AL823" s="32"/>
      <c r="AM823" s="122"/>
      <c r="AN823" s="122"/>
      <c r="AO823" s="12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</row>
    <row r="824" spans="1:52" ht="15.75" customHeight="1">
      <c r="A824" s="122"/>
      <c r="B824" s="122"/>
      <c r="C824" s="122"/>
      <c r="D824" s="123"/>
      <c r="E824" s="123"/>
      <c r="F824" s="122"/>
      <c r="G824" s="122"/>
      <c r="H824" s="124"/>
      <c r="I824" s="122"/>
      <c r="J824" s="122"/>
      <c r="K824" s="122"/>
      <c r="L824" s="125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6"/>
      <c r="AE824" s="122"/>
      <c r="AF824" s="126"/>
      <c r="AG824" s="122"/>
      <c r="AH824" s="126"/>
      <c r="AI824" s="122"/>
      <c r="AJ824" s="32"/>
      <c r="AK824" s="122"/>
      <c r="AL824" s="32"/>
      <c r="AM824" s="122"/>
      <c r="AN824" s="122"/>
      <c r="AO824" s="12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</row>
    <row r="825" spans="1:52" ht="15.75" customHeight="1">
      <c r="A825" s="122"/>
      <c r="B825" s="122"/>
      <c r="C825" s="122"/>
      <c r="D825" s="123"/>
      <c r="E825" s="123"/>
      <c r="F825" s="122"/>
      <c r="G825" s="122"/>
      <c r="H825" s="124"/>
      <c r="I825" s="122"/>
      <c r="J825" s="122"/>
      <c r="K825" s="122"/>
      <c r="L825" s="125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6"/>
      <c r="AE825" s="122"/>
      <c r="AF825" s="126"/>
      <c r="AG825" s="122"/>
      <c r="AH825" s="126"/>
      <c r="AI825" s="122"/>
      <c r="AJ825" s="32"/>
      <c r="AK825" s="122"/>
      <c r="AL825" s="32"/>
      <c r="AM825" s="122"/>
      <c r="AN825" s="122"/>
      <c r="AO825" s="12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</row>
    <row r="826" spans="1:52" ht="15.75" customHeight="1">
      <c r="A826" s="122"/>
      <c r="B826" s="122"/>
      <c r="C826" s="122"/>
      <c r="D826" s="123"/>
      <c r="E826" s="123"/>
      <c r="F826" s="122"/>
      <c r="G826" s="122"/>
      <c r="H826" s="124"/>
      <c r="I826" s="122"/>
      <c r="J826" s="122"/>
      <c r="K826" s="122"/>
      <c r="L826" s="125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6"/>
      <c r="AE826" s="122"/>
      <c r="AF826" s="126"/>
      <c r="AG826" s="122"/>
      <c r="AH826" s="126"/>
      <c r="AI826" s="122"/>
      <c r="AJ826" s="32"/>
      <c r="AK826" s="122"/>
      <c r="AL826" s="32"/>
      <c r="AM826" s="122"/>
      <c r="AN826" s="122"/>
      <c r="AO826" s="12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</row>
    <row r="827" spans="1:52" ht="15.75" customHeight="1">
      <c r="A827" s="122"/>
      <c r="B827" s="122"/>
      <c r="C827" s="122"/>
      <c r="D827" s="123"/>
      <c r="E827" s="123"/>
      <c r="F827" s="122"/>
      <c r="G827" s="122"/>
      <c r="H827" s="124"/>
      <c r="I827" s="122"/>
      <c r="J827" s="122"/>
      <c r="K827" s="122"/>
      <c r="L827" s="125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6"/>
      <c r="AE827" s="122"/>
      <c r="AF827" s="126"/>
      <c r="AG827" s="122"/>
      <c r="AH827" s="126"/>
      <c r="AI827" s="122"/>
      <c r="AJ827" s="32"/>
      <c r="AK827" s="122"/>
      <c r="AL827" s="32"/>
      <c r="AM827" s="122"/>
      <c r="AN827" s="122"/>
      <c r="AO827" s="12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</row>
    <row r="828" spans="1:52" ht="15.75" customHeight="1">
      <c r="A828" s="122"/>
      <c r="B828" s="122"/>
      <c r="C828" s="122"/>
      <c r="D828" s="123"/>
      <c r="E828" s="123"/>
      <c r="F828" s="122"/>
      <c r="G828" s="122"/>
      <c r="H828" s="124"/>
      <c r="I828" s="122"/>
      <c r="J828" s="122"/>
      <c r="K828" s="122"/>
      <c r="L828" s="125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6"/>
      <c r="AE828" s="122"/>
      <c r="AF828" s="126"/>
      <c r="AG828" s="122"/>
      <c r="AH828" s="126"/>
      <c r="AI828" s="122"/>
      <c r="AJ828" s="32"/>
      <c r="AK828" s="122"/>
      <c r="AL828" s="32"/>
      <c r="AM828" s="122"/>
      <c r="AN828" s="122"/>
      <c r="AO828" s="12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</row>
    <row r="829" spans="1:52" ht="15.75" customHeight="1">
      <c r="A829" s="122"/>
      <c r="B829" s="122"/>
      <c r="C829" s="122"/>
      <c r="D829" s="123"/>
      <c r="E829" s="123"/>
      <c r="F829" s="122"/>
      <c r="G829" s="122"/>
      <c r="H829" s="124"/>
      <c r="I829" s="122"/>
      <c r="J829" s="122"/>
      <c r="K829" s="122"/>
      <c r="L829" s="125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6"/>
      <c r="AE829" s="122"/>
      <c r="AF829" s="126"/>
      <c r="AG829" s="122"/>
      <c r="AH829" s="126"/>
      <c r="AI829" s="122"/>
      <c r="AJ829" s="32"/>
      <c r="AK829" s="122"/>
      <c r="AL829" s="32"/>
      <c r="AM829" s="122"/>
      <c r="AN829" s="122"/>
      <c r="AO829" s="12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</row>
    <row r="830" spans="1:52" ht="15.75" customHeight="1">
      <c r="A830" s="122"/>
      <c r="B830" s="122"/>
      <c r="C830" s="122"/>
      <c r="D830" s="123"/>
      <c r="E830" s="123"/>
      <c r="F830" s="122"/>
      <c r="G830" s="122"/>
      <c r="H830" s="124"/>
      <c r="I830" s="122"/>
      <c r="J830" s="122"/>
      <c r="K830" s="122"/>
      <c r="L830" s="125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6"/>
      <c r="AE830" s="122"/>
      <c r="AF830" s="126"/>
      <c r="AG830" s="122"/>
      <c r="AH830" s="126"/>
      <c r="AI830" s="122"/>
      <c r="AJ830" s="32"/>
      <c r="AK830" s="122"/>
      <c r="AL830" s="32"/>
      <c r="AM830" s="122"/>
      <c r="AN830" s="122"/>
      <c r="AO830" s="12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</row>
    <row r="831" spans="1:52" ht="15.75" customHeight="1">
      <c r="A831" s="122"/>
      <c r="B831" s="122"/>
      <c r="C831" s="122"/>
      <c r="D831" s="123"/>
      <c r="E831" s="123"/>
      <c r="F831" s="122"/>
      <c r="G831" s="122"/>
      <c r="H831" s="124"/>
      <c r="I831" s="122"/>
      <c r="J831" s="122"/>
      <c r="K831" s="122"/>
      <c r="L831" s="125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6"/>
      <c r="AE831" s="122"/>
      <c r="AF831" s="126"/>
      <c r="AG831" s="122"/>
      <c r="AH831" s="126"/>
      <c r="AI831" s="122"/>
      <c r="AJ831" s="32"/>
      <c r="AK831" s="122"/>
      <c r="AL831" s="32"/>
      <c r="AM831" s="122"/>
      <c r="AN831" s="122"/>
      <c r="AO831" s="12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</row>
    <row r="832" spans="1:52" ht="15.75" customHeight="1">
      <c r="A832" s="122"/>
      <c r="B832" s="122"/>
      <c r="C832" s="122"/>
      <c r="D832" s="123"/>
      <c r="E832" s="123"/>
      <c r="F832" s="122"/>
      <c r="G832" s="122"/>
      <c r="H832" s="124"/>
      <c r="I832" s="122"/>
      <c r="J832" s="122"/>
      <c r="K832" s="122"/>
      <c r="L832" s="125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6"/>
      <c r="AE832" s="122"/>
      <c r="AF832" s="126"/>
      <c r="AG832" s="122"/>
      <c r="AH832" s="126"/>
      <c r="AI832" s="122"/>
      <c r="AJ832" s="32"/>
      <c r="AK832" s="122"/>
      <c r="AL832" s="32"/>
      <c r="AM832" s="122"/>
      <c r="AN832" s="122"/>
      <c r="AO832" s="12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</row>
    <row r="833" spans="1:52" ht="15.75" customHeight="1">
      <c r="A833" s="122"/>
      <c r="B833" s="122"/>
      <c r="C833" s="122"/>
      <c r="D833" s="123"/>
      <c r="E833" s="123"/>
      <c r="F833" s="122"/>
      <c r="G833" s="122"/>
      <c r="H833" s="124"/>
      <c r="I833" s="122"/>
      <c r="J833" s="122"/>
      <c r="K833" s="122"/>
      <c r="L833" s="125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6"/>
      <c r="AE833" s="122"/>
      <c r="AF833" s="126"/>
      <c r="AG833" s="122"/>
      <c r="AH833" s="126"/>
      <c r="AI833" s="122"/>
      <c r="AJ833" s="32"/>
      <c r="AK833" s="122"/>
      <c r="AL833" s="32"/>
      <c r="AM833" s="122"/>
      <c r="AN833" s="122"/>
      <c r="AO833" s="12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</row>
    <row r="834" spans="1:52" ht="15.75" customHeight="1">
      <c r="A834" s="122"/>
      <c r="B834" s="122"/>
      <c r="C834" s="122"/>
      <c r="D834" s="123"/>
      <c r="E834" s="123"/>
      <c r="F834" s="122"/>
      <c r="G834" s="122"/>
      <c r="H834" s="124"/>
      <c r="I834" s="122"/>
      <c r="J834" s="122"/>
      <c r="K834" s="122"/>
      <c r="L834" s="125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6"/>
      <c r="AE834" s="122"/>
      <c r="AF834" s="126"/>
      <c r="AG834" s="122"/>
      <c r="AH834" s="126"/>
      <c r="AI834" s="122"/>
      <c r="AJ834" s="32"/>
      <c r="AK834" s="122"/>
      <c r="AL834" s="32"/>
      <c r="AM834" s="122"/>
      <c r="AN834" s="122"/>
      <c r="AO834" s="12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</row>
    <row r="835" spans="1:52" ht="15.75" customHeight="1">
      <c r="A835" s="122"/>
      <c r="B835" s="122"/>
      <c r="C835" s="122"/>
      <c r="D835" s="123"/>
      <c r="E835" s="123"/>
      <c r="F835" s="122"/>
      <c r="G835" s="122"/>
      <c r="H835" s="124"/>
      <c r="I835" s="122"/>
      <c r="J835" s="122"/>
      <c r="K835" s="122"/>
      <c r="L835" s="125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6"/>
      <c r="AE835" s="122"/>
      <c r="AF835" s="126"/>
      <c r="AG835" s="122"/>
      <c r="AH835" s="126"/>
      <c r="AI835" s="122"/>
      <c r="AJ835" s="32"/>
      <c r="AK835" s="122"/>
      <c r="AL835" s="32"/>
      <c r="AM835" s="122"/>
      <c r="AN835" s="122"/>
      <c r="AO835" s="12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</row>
    <row r="836" spans="1:52" ht="15.75" customHeight="1">
      <c r="A836" s="122"/>
      <c r="B836" s="122"/>
      <c r="C836" s="122"/>
      <c r="D836" s="123"/>
      <c r="E836" s="123"/>
      <c r="F836" s="122"/>
      <c r="G836" s="122"/>
      <c r="H836" s="124"/>
      <c r="I836" s="122"/>
      <c r="J836" s="122"/>
      <c r="K836" s="122"/>
      <c r="L836" s="125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6"/>
      <c r="AE836" s="122"/>
      <c r="AF836" s="126"/>
      <c r="AG836" s="122"/>
      <c r="AH836" s="126"/>
      <c r="AI836" s="122"/>
      <c r="AJ836" s="32"/>
      <c r="AK836" s="122"/>
      <c r="AL836" s="32"/>
      <c r="AM836" s="122"/>
      <c r="AN836" s="122"/>
      <c r="AO836" s="12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</row>
    <row r="837" spans="1:52" ht="15.75" customHeight="1">
      <c r="A837" s="122"/>
      <c r="B837" s="122"/>
      <c r="C837" s="122"/>
      <c r="D837" s="123"/>
      <c r="E837" s="123"/>
      <c r="F837" s="122"/>
      <c r="G837" s="122"/>
      <c r="H837" s="124"/>
      <c r="I837" s="122"/>
      <c r="J837" s="122"/>
      <c r="K837" s="122"/>
      <c r="L837" s="125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6"/>
      <c r="AE837" s="122"/>
      <c r="AF837" s="126"/>
      <c r="AG837" s="122"/>
      <c r="AH837" s="126"/>
      <c r="AI837" s="122"/>
      <c r="AJ837" s="32"/>
      <c r="AK837" s="122"/>
      <c r="AL837" s="32"/>
      <c r="AM837" s="122"/>
      <c r="AN837" s="122"/>
      <c r="AO837" s="12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</row>
    <row r="838" spans="1:52" ht="15.75" customHeight="1">
      <c r="A838" s="122"/>
      <c r="B838" s="122"/>
      <c r="C838" s="122"/>
      <c r="D838" s="123"/>
      <c r="E838" s="123"/>
      <c r="F838" s="122"/>
      <c r="G838" s="122"/>
      <c r="H838" s="124"/>
      <c r="I838" s="122"/>
      <c r="J838" s="122"/>
      <c r="K838" s="122"/>
      <c r="L838" s="125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6"/>
      <c r="AE838" s="122"/>
      <c r="AF838" s="126"/>
      <c r="AG838" s="122"/>
      <c r="AH838" s="126"/>
      <c r="AI838" s="122"/>
      <c r="AJ838" s="32"/>
      <c r="AK838" s="122"/>
      <c r="AL838" s="32"/>
      <c r="AM838" s="122"/>
      <c r="AN838" s="122"/>
      <c r="AO838" s="12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</row>
    <row r="839" spans="1:52" ht="15.75" customHeight="1">
      <c r="A839" s="122"/>
      <c r="B839" s="122"/>
      <c r="C839" s="122"/>
      <c r="D839" s="123"/>
      <c r="E839" s="123"/>
      <c r="F839" s="122"/>
      <c r="G839" s="122"/>
      <c r="H839" s="124"/>
      <c r="I839" s="122"/>
      <c r="J839" s="122"/>
      <c r="K839" s="122"/>
      <c r="L839" s="125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6"/>
      <c r="AE839" s="122"/>
      <c r="AF839" s="126"/>
      <c r="AG839" s="122"/>
      <c r="AH839" s="126"/>
      <c r="AI839" s="122"/>
      <c r="AJ839" s="32"/>
      <c r="AK839" s="122"/>
      <c r="AL839" s="32"/>
      <c r="AM839" s="122"/>
      <c r="AN839" s="122"/>
      <c r="AO839" s="12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</row>
    <row r="840" spans="1:52" ht="15.75" customHeight="1">
      <c r="A840" s="122"/>
      <c r="B840" s="122"/>
      <c r="C840" s="122"/>
      <c r="D840" s="123"/>
      <c r="E840" s="123"/>
      <c r="F840" s="122"/>
      <c r="G840" s="122"/>
      <c r="H840" s="124"/>
      <c r="I840" s="122"/>
      <c r="J840" s="122"/>
      <c r="K840" s="122"/>
      <c r="L840" s="125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6"/>
      <c r="AE840" s="122"/>
      <c r="AF840" s="126"/>
      <c r="AG840" s="122"/>
      <c r="AH840" s="126"/>
      <c r="AI840" s="122"/>
      <c r="AJ840" s="32"/>
      <c r="AK840" s="122"/>
      <c r="AL840" s="32"/>
      <c r="AM840" s="122"/>
      <c r="AN840" s="122"/>
      <c r="AO840" s="12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</row>
    <row r="841" spans="1:52" ht="15.75" customHeight="1">
      <c r="A841" s="122"/>
      <c r="B841" s="122"/>
      <c r="C841" s="122"/>
      <c r="D841" s="123"/>
      <c r="E841" s="123"/>
      <c r="F841" s="122"/>
      <c r="G841" s="122"/>
      <c r="H841" s="124"/>
      <c r="I841" s="122"/>
      <c r="J841" s="122"/>
      <c r="K841" s="122"/>
      <c r="L841" s="125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6"/>
      <c r="AE841" s="122"/>
      <c r="AF841" s="126"/>
      <c r="AG841" s="122"/>
      <c r="AH841" s="126"/>
      <c r="AI841" s="122"/>
      <c r="AJ841" s="32"/>
      <c r="AK841" s="122"/>
      <c r="AL841" s="32"/>
      <c r="AM841" s="122"/>
      <c r="AN841" s="122"/>
      <c r="AO841" s="12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</row>
    <row r="842" spans="1:52" ht="15.75" customHeight="1">
      <c r="A842" s="122"/>
      <c r="B842" s="122"/>
      <c r="C842" s="122"/>
      <c r="D842" s="123"/>
      <c r="E842" s="123"/>
      <c r="F842" s="122"/>
      <c r="G842" s="122"/>
      <c r="H842" s="124"/>
      <c r="I842" s="122"/>
      <c r="J842" s="122"/>
      <c r="K842" s="122"/>
      <c r="L842" s="125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6"/>
      <c r="AE842" s="122"/>
      <c r="AF842" s="126"/>
      <c r="AG842" s="122"/>
      <c r="AH842" s="126"/>
      <c r="AI842" s="122"/>
      <c r="AJ842" s="32"/>
      <c r="AK842" s="122"/>
      <c r="AL842" s="32"/>
      <c r="AM842" s="122"/>
      <c r="AN842" s="122"/>
      <c r="AO842" s="12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</row>
    <row r="843" spans="1:52" ht="15.75" customHeight="1">
      <c r="A843" s="122"/>
      <c r="B843" s="122"/>
      <c r="C843" s="122"/>
      <c r="D843" s="123"/>
      <c r="E843" s="123"/>
      <c r="F843" s="122"/>
      <c r="G843" s="122"/>
      <c r="H843" s="124"/>
      <c r="I843" s="122"/>
      <c r="J843" s="122"/>
      <c r="K843" s="122"/>
      <c r="L843" s="125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6"/>
      <c r="AE843" s="122"/>
      <c r="AF843" s="126"/>
      <c r="AG843" s="122"/>
      <c r="AH843" s="126"/>
      <c r="AI843" s="122"/>
      <c r="AJ843" s="32"/>
      <c r="AK843" s="122"/>
      <c r="AL843" s="32"/>
      <c r="AM843" s="122"/>
      <c r="AN843" s="122"/>
      <c r="AO843" s="12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</row>
    <row r="844" spans="1:52" ht="15.75" customHeight="1">
      <c r="A844" s="122"/>
      <c r="B844" s="122"/>
      <c r="C844" s="122"/>
      <c r="D844" s="123"/>
      <c r="E844" s="123"/>
      <c r="F844" s="122"/>
      <c r="G844" s="122"/>
      <c r="H844" s="124"/>
      <c r="I844" s="122"/>
      <c r="J844" s="122"/>
      <c r="K844" s="122"/>
      <c r="L844" s="125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6"/>
      <c r="AE844" s="122"/>
      <c r="AF844" s="126"/>
      <c r="AG844" s="122"/>
      <c r="AH844" s="126"/>
      <c r="AI844" s="122"/>
      <c r="AJ844" s="32"/>
      <c r="AK844" s="122"/>
      <c r="AL844" s="32"/>
      <c r="AM844" s="122"/>
      <c r="AN844" s="122"/>
      <c r="AO844" s="12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</row>
    <row r="845" spans="1:52" ht="15.75" customHeight="1">
      <c r="A845" s="122"/>
      <c r="B845" s="122"/>
      <c r="C845" s="122"/>
      <c r="D845" s="123"/>
      <c r="E845" s="123"/>
      <c r="F845" s="122"/>
      <c r="G845" s="122"/>
      <c r="H845" s="124"/>
      <c r="I845" s="122"/>
      <c r="J845" s="122"/>
      <c r="K845" s="122"/>
      <c r="L845" s="125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6"/>
      <c r="AE845" s="122"/>
      <c r="AF845" s="126"/>
      <c r="AG845" s="122"/>
      <c r="AH845" s="126"/>
      <c r="AI845" s="122"/>
      <c r="AJ845" s="32"/>
      <c r="AK845" s="122"/>
      <c r="AL845" s="32"/>
      <c r="AM845" s="122"/>
      <c r="AN845" s="122"/>
      <c r="AO845" s="12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</row>
    <row r="846" spans="1:52" ht="15.75" customHeight="1">
      <c r="A846" s="122"/>
      <c r="B846" s="122"/>
      <c r="C846" s="122"/>
      <c r="D846" s="123"/>
      <c r="E846" s="123"/>
      <c r="F846" s="122"/>
      <c r="G846" s="122"/>
      <c r="H846" s="124"/>
      <c r="I846" s="122"/>
      <c r="J846" s="122"/>
      <c r="K846" s="122"/>
      <c r="L846" s="125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6"/>
      <c r="AE846" s="122"/>
      <c r="AF846" s="126"/>
      <c r="AG846" s="122"/>
      <c r="AH846" s="126"/>
      <c r="AI846" s="122"/>
      <c r="AJ846" s="32"/>
      <c r="AK846" s="122"/>
      <c r="AL846" s="32"/>
      <c r="AM846" s="122"/>
      <c r="AN846" s="122"/>
      <c r="AO846" s="12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</row>
    <row r="847" spans="1:52" ht="15.75" customHeight="1">
      <c r="A847" s="122"/>
      <c r="B847" s="122"/>
      <c r="C847" s="122"/>
      <c r="D847" s="123"/>
      <c r="E847" s="123"/>
      <c r="F847" s="122"/>
      <c r="G847" s="122"/>
      <c r="H847" s="124"/>
      <c r="I847" s="122"/>
      <c r="J847" s="122"/>
      <c r="K847" s="122"/>
      <c r="L847" s="125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6"/>
      <c r="AE847" s="122"/>
      <c r="AF847" s="126"/>
      <c r="AG847" s="122"/>
      <c r="AH847" s="126"/>
      <c r="AI847" s="122"/>
      <c r="AJ847" s="32"/>
      <c r="AK847" s="122"/>
      <c r="AL847" s="32"/>
      <c r="AM847" s="122"/>
      <c r="AN847" s="122"/>
      <c r="AO847" s="12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</row>
    <row r="848" spans="1:52" ht="15.75" customHeight="1">
      <c r="A848" s="122"/>
      <c r="B848" s="122"/>
      <c r="C848" s="122"/>
      <c r="D848" s="123"/>
      <c r="E848" s="123"/>
      <c r="F848" s="122"/>
      <c r="G848" s="122"/>
      <c r="H848" s="124"/>
      <c r="I848" s="122"/>
      <c r="J848" s="122"/>
      <c r="K848" s="122"/>
      <c r="L848" s="125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6"/>
      <c r="AE848" s="122"/>
      <c r="AF848" s="126"/>
      <c r="AG848" s="122"/>
      <c r="AH848" s="126"/>
      <c r="AI848" s="122"/>
      <c r="AJ848" s="32"/>
      <c r="AK848" s="122"/>
      <c r="AL848" s="32"/>
      <c r="AM848" s="122"/>
      <c r="AN848" s="122"/>
      <c r="AO848" s="12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</row>
    <row r="849" spans="1:52" ht="15.75" customHeight="1">
      <c r="A849" s="122"/>
      <c r="B849" s="122"/>
      <c r="C849" s="122"/>
      <c r="D849" s="123"/>
      <c r="E849" s="123"/>
      <c r="F849" s="122"/>
      <c r="G849" s="122"/>
      <c r="H849" s="124"/>
      <c r="I849" s="122"/>
      <c r="J849" s="122"/>
      <c r="K849" s="122"/>
      <c r="L849" s="125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6"/>
      <c r="AE849" s="122"/>
      <c r="AF849" s="126"/>
      <c r="AG849" s="122"/>
      <c r="AH849" s="126"/>
      <c r="AI849" s="122"/>
      <c r="AJ849" s="32"/>
      <c r="AK849" s="122"/>
      <c r="AL849" s="32"/>
      <c r="AM849" s="122"/>
      <c r="AN849" s="122"/>
      <c r="AO849" s="122"/>
      <c r="AP849" s="32"/>
      <c r="AQ849" s="32"/>
      <c r="AR849" s="32"/>
      <c r="AS849" s="32"/>
      <c r="AT849" s="32"/>
      <c r="AU849" s="32"/>
      <c r="AV849" s="32"/>
      <c r="AW849" s="32"/>
      <c r="AX849" s="32"/>
      <c r="AY849" s="32"/>
      <c r="AZ849" s="32"/>
    </row>
    <row r="850" spans="1:52" ht="15.75" customHeight="1">
      <c r="A850" s="122"/>
      <c r="B850" s="122"/>
      <c r="C850" s="122"/>
      <c r="D850" s="123"/>
      <c r="E850" s="123"/>
      <c r="F850" s="122"/>
      <c r="G850" s="122"/>
      <c r="H850" s="124"/>
      <c r="I850" s="122"/>
      <c r="J850" s="122"/>
      <c r="K850" s="122"/>
      <c r="L850" s="125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6"/>
      <c r="AE850" s="122"/>
      <c r="AF850" s="126"/>
      <c r="AG850" s="122"/>
      <c r="AH850" s="126"/>
      <c r="AI850" s="122"/>
      <c r="AJ850" s="32"/>
      <c r="AK850" s="122"/>
      <c r="AL850" s="32"/>
      <c r="AM850" s="122"/>
      <c r="AN850" s="122"/>
      <c r="AO850" s="122"/>
      <c r="AP850" s="32"/>
      <c r="AQ850" s="32"/>
      <c r="AR850" s="32"/>
      <c r="AS850" s="32"/>
      <c r="AT850" s="32"/>
      <c r="AU850" s="32"/>
      <c r="AV850" s="32"/>
      <c r="AW850" s="32"/>
      <c r="AX850" s="32"/>
      <c r="AY850" s="32"/>
      <c r="AZ850" s="32"/>
    </row>
    <row r="851" spans="1:52" ht="15.75" customHeight="1">
      <c r="A851" s="122"/>
      <c r="B851" s="122"/>
      <c r="C851" s="122"/>
      <c r="D851" s="123"/>
      <c r="E851" s="123"/>
      <c r="F851" s="122"/>
      <c r="G851" s="122"/>
      <c r="H851" s="124"/>
      <c r="I851" s="122"/>
      <c r="J851" s="122"/>
      <c r="K851" s="122"/>
      <c r="L851" s="125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6"/>
      <c r="AE851" s="122"/>
      <c r="AF851" s="126"/>
      <c r="AG851" s="122"/>
      <c r="AH851" s="126"/>
      <c r="AI851" s="122"/>
      <c r="AJ851" s="32"/>
      <c r="AK851" s="122"/>
      <c r="AL851" s="32"/>
      <c r="AM851" s="122"/>
      <c r="AN851" s="122"/>
      <c r="AO851" s="12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</row>
    <row r="852" spans="1:52" ht="15.75" customHeight="1">
      <c r="A852" s="122"/>
      <c r="B852" s="122"/>
      <c r="C852" s="122"/>
      <c r="D852" s="123"/>
      <c r="E852" s="123"/>
      <c r="F852" s="122"/>
      <c r="G852" s="122"/>
      <c r="H852" s="124"/>
      <c r="I852" s="122"/>
      <c r="J852" s="122"/>
      <c r="K852" s="122"/>
      <c r="L852" s="125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6"/>
      <c r="AE852" s="122"/>
      <c r="AF852" s="126"/>
      <c r="AG852" s="122"/>
      <c r="AH852" s="126"/>
      <c r="AI852" s="122"/>
      <c r="AJ852" s="32"/>
      <c r="AK852" s="122"/>
      <c r="AL852" s="32"/>
      <c r="AM852" s="122"/>
      <c r="AN852" s="122"/>
      <c r="AO852" s="12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</row>
    <row r="853" spans="1:52" ht="15.75" customHeight="1">
      <c r="A853" s="122"/>
      <c r="B853" s="122"/>
      <c r="C853" s="122"/>
      <c r="D853" s="123"/>
      <c r="E853" s="123"/>
      <c r="F853" s="122"/>
      <c r="G853" s="122"/>
      <c r="H853" s="124"/>
      <c r="I853" s="122"/>
      <c r="J853" s="122"/>
      <c r="K853" s="122"/>
      <c r="L853" s="125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6"/>
      <c r="AE853" s="122"/>
      <c r="AF853" s="126"/>
      <c r="AG853" s="122"/>
      <c r="AH853" s="126"/>
      <c r="AI853" s="122"/>
      <c r="AJ853" s="32"/>
      <c r="AK853" s="122"/>
      <c r="AL853" s="32"/>
      <c r="AM853" s="122"/>
      <c r="AN853" s="122"/>
      <c r="AO853" s="12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</row>
    <row r="854" spans="1:52" ht="15.75" customHeight="1">
      <c r="A854" s="122"/>
      <c r="B854" s="122"/>
      <c r="C854" s="122"/>
      <c r="D854" s="123"/>
      <c r="E854" s="123"/>
      <c r="F854" s="122"/>
      <c r="G854" s="122"/>
      <c r="H854" s="124"/>
      <c r="I854" s="122"/>
      <c r="J854" s="122"/>
      <c r="K854" s="122"/>
      <c r="L854" s="125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6"/>
      <c r="AE854" s="122"/>
      <c r="AF854" s="126"/>
      <c r="AG854" s="122"/>
      <c r="AH854" s="126"/>
      <c r="AI854" s="122"/>
      <c r="AJ854" s="32"/>
      <c r="AK854" s="122"/>
      <c r="AL854" s="32"/>
      <c r="AM854" s="122"/>
      <c r="AN854" s="122"/>
      <c r="AO854" s="12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</row>
    <row r="855" spans="1:52" ht="15.75" customHeight="1">
      <c r="A855" s="122"/>
      <c r="B855" s="122"/>
      <c r="C855" s="122"/>
      <c r="D855" s="123"/>
      <c r="E855" s="123"/>
      <c r="F855" s="122"/>
      <c r="G855" s="122"/>
      <c r="H855" s="124"/>
      <c r="I855" s="122"/>
      <c r="J855" s="122"/>
      <c r="K855" s="122"/>
      <c r="L855" s="125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6"/>
      <c r="AE855" s="122"/>
      <c r="AF855" s="126"/>
      <c r="AG855" s="122"/>
      <c r="AH855" s="126"/>
      <c r="AI855" s="122"/>
      <c r="AJ855" s="32"/>
      <c r="AK855" s="122"/>
      <c r="AL855" s="32"/>
      <c r="AM855" s="122"/>
      <c r="AN855" s="122"/>
      <c r="AO855" s="12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</row>
    <row r="856" spans="1:52" ht="15.75" customHeight="1">
      <c r="A856" s="122"/>
      <c r="B856" s="122"/>
      <c r="C856" s="122"/>
      <c r="D856" s="123"/>
      <c r="E856" s="123"/>
      <c r="F856" s="122"/>
      <c r="G856" s="122"/>
      <c r="H856" s="124"/>
      <c r="I856" s="122"/>
      <c r="J856" s="122"/>
      <c r="K856" s="122"/>
      <c r="L856" s="125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6"/>
      <c r="AE856" s="122"/>
      <c r="AF856" s="126"/>
      <c r="AG856" s="122"/>
      <c r="AH856" s="126"/>
      <c r="AI856" s="122"/>
      <c r="AJ856" s="32"/>
      <c r="AK856" s="122"/>
      <c r="AL856" s="32"/>
      <c r="AM856" s="122"/>
      <c r="AN856" s="122"/>
      <c r="AO856" s="12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</row>
    <row r="857" spans="1:52" ht="15.75" customHeight="1">
      <c r="A857" s="122"/>
      <c r="B857" s="122"/>
      <c r="C857" s="122"/>
      <c r="D857" s="123"/>
      <c r="E857" s="123"/>
      <c r="F857" s="122"/>
      <c r="G857" s="122"/>
      <c r="H857" s="124"/>
      <c r="I857" s="122"/>
      <c r="J857" s="122"/>
      <c r="K857" s="122"/>
      <c r="L857" s="125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6"/>
      <c r="AE857" s="122"/>
      <c r="AF857" s="126"/>
      <c r="AG857" s="122"/>
      <c r="AH857" s="126"/>
      <c r="AI857" s="122"/>
      <c r="AJ857" s="32"/>
      <c r="AK857" s="122"/>
      <c r="AL857" s="32"/>
      <c r="AM857" s="122"/>
      <c r="AN857" s="122"/>
      <c r="AO857" s="12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</row>
    <row r="858" spans="1:52" ht="15.75" customHeight="1">
      <c r="A858" s="122"/>
      <c r="B858" s="122"/>
      <c r="C858" s="122"/>
      <c r="D858" s="123"/>
      <c r="E858" s="123"/>
      <c r="F858" s="122"/>
      <c r="G858" s="122"/>
      <c r="H858" s="124"/>
      <c r="I858" s="122"/>
      <c r="J858" s="122"/>
      <c r="K858" s="122"/>
      <c r="L858" s="125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6"/>
      <c r="AE858" s="122"/>
      <c r="AF858" s="126"/>
      <c r="AG858" s="122"/>
      <c r="AH858" s="126"/>
      <c r="AI858" s="122"/>
      <c r="AJ858" s="32"/>
      <c r="AK858" s="122"/>
      <c r="AL858" s="32"/>
      <c r="AM858" s="122"/>
      <c r="AN858" s="122"/>
      <c r="AO858" s="12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</row>
    <row r="859" spans="1:52" ht="15.75" customHeight="1">
      <c r="A859" s="122"/>
      <c r="B859" s="122"/>
      <c r="C859" s="122"/>
      <c r="D859" s="123"/>
      <c r="E859" s="123"/>
      <c r="F859" s="122"/>
      <c r="G859" s="122"/>
      <c r="H859" s="124"/>
      <c r="I859" s="122"/>
      <c r="J859" s="122"/>
      <c r="K859" s="122"/>
      <c r="L859" s="125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6"/>
      <c r="AE859" s="122"/>
      <c r="AF859" s="126"/>
      <c r="AG859" s="122"/>
      <c r="AH859" s="126"/>
      <c r="AI859" s="122"/>
      <c r="AJ859" s="32"/>
      <c r="AK859" s="122"/>
      <c r="AL859" s="32"/>
      <c r="AM859" s="122"/>
      <c r="AN859" s="122"/>
      <c r="AO859" s="12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</row>
    <row r="860" spans="1:52" ht="15.75" customHeight="1">
      <c r="A860" s="122"/>
      <c r="B860" s="122"/>
      <c r="C860" s="122"/>
      <c r="D860" s="123"/>
      <c r="E860" s="123"/>
      <c r="F860" s="122"/>
      <c r="G860" s="122"/>
      <c r="H860" s="124"/>
      <c r="I860" s="122"/>
      <c r="J860" s="122"/>
      <c r="K860" s="122"/>
      <c r="L860" s="125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6"/>
      <c r="AE860" s="122"/>
      <c r="AF860" s="126"/>
      <c r="AG860" s="122"/>
      <c r="AH860" s="126"/>
      <c r="AI860" s="122"/>
      <c r="AJ860" s="32"/>
      <c r="AK860" s="122"/>
      <c r="AL860" s="32"/>
      <c r="AM860" s="122"/>
      <c r="AN860" s="122"/>
      <c r="AO860" s="12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</row>
    <row r="861" spans="1:52" ht="15.75" customHeight="1">
      <c r="A861" s="122"/>
      <c r="B861" s="122"/>
      <c r="C861" s="122"/>
      <c r="D861" s="123"/>
      <c r="E861" s="123"/>
      <c r="F861" s="122"/>
      <c r="G861" s="122"/>
      <c r="H861" s="124"/>
      <c r="I861" s="122"/>
      <c r="J861" s="122"/>
      <c r="K861" s="122"/>
      <c r="L861" s="125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6"/>
      <c r="AE861" s="122"/>
      <c r="AF861" s="126"/>
      <c r="AG861" s="122"/>
      <c r="AH861" s="126"/>
      <c r="AI861" s="122"/>
      <c r="AJ861" s="32"/>
      <c r="AK861" s="122"/>
      <c r="AL861" s="32"/>
      <c r="AM861" s="122"/>
      <c r="AN861" s="122"/>
      <c r="AO861" s="12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</row>
    <row r="862" spans="1:52" ht="15.75" customHeight="1">
      <c r="A862" s="122"/>
      <c r="B862" s="122"/>
      <c r="C862" s="122"/>
      <c r="D862" s="123"/>
      <c r="E862" s="123"/>
      <c r="F862" s="122"/>
      <c r="G862" s="122"/>
      <c r="H862" s="124"/>
      <c r="I862" s="122"/>
      <c r="J862" s="122"/>
      <c r="K862" s="122"/>
      <c r="L862" s="125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6"/>
      <c r="AE862" s="122"/>
      <c r="AF862" s="126"/>
      <c r="AG862" s="122"/>
      <c r="AH862" s="126"/>
      <c r="AI862" s="122"/>
      <c r="AJ862" s="32"/>
      <c r="AK862" s="122"/>
      <c r="AL862" s="32"/>
      <c r="AM862" s="122"/>
      <c r="AN862" s="122"/>
      <c r="AO862" s="12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</row>
    <row r="863" spans="1:52" ht="15.75" customHeight="1">
      <c r="A863" s="122"/>
      <c r="B863" s="122"/>
      <c r="C863" s="122"/>
      <c r="D863" s="123"/>
      <c r="E863" s="123"/>
      <c r="F863" s="122"/>
      <c r="G863" s="122"/>
      <c r="H863" s="124"/>
      <c r="I863" s="122"/>
      <c r="J863" s="122"/>
      <c r="K863" s="122"/>
      <c r="L863" s="125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6"/>
      <c r="AE863" s="122"/>
      <c r="AF863" s="126"/>
      <c r="AG863" s="122"/>
      <c r="AH863" s="126"/>
      <c r="AI863" s="122"/>
      <c r="AJ863" s="32"/>
      <c r="AK863" s="122"/>
      <c r="AL863" s="32"/>
      <c r="AM863" s="122"/>
      <c r="AN863" s="122"/>
      <c r="AO863" s="12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</row>
    <row r="864" spans="1:52" ht="15.75" customHeight="1">
      <c r="A864" s="122"/>
      <c r="B864" s="122"/>
      <c r="C864" s="122"/>
      <c r="D864" s="123"/>
      <c r="E864" s="123"/>
      <c r="F864" s="122"/>
      <c r="G864" s="122"/>
      <c r="H864" s="124"/>
      <c r="I864" s="122"/>
      <c r="J864" s="122"/>
      <c r="K864" s="122"/>
      <c r="L864" s="125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6"/>
      <c r="AE864" s="122"/>
      <c r="AF864" s="126"/>
      <c r="AG864" s="122"/>
      <c r="AH864" s="126"/>
      <c r="AI864" s="122"/>
      <c r="AJ864" s="32"/>
      <c r="AK864" s="122"/>
      <c r="AL864" s="32"/>
      <c r="AM864" s="122"/>
      <c r="AN864" s="122"/>
      <c r="AO864" s="12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</row>
    <row r="865" spans="1:52" ht="15.75" customHeight="1">
      <c r="A865" s="122"/>
      <c r="B865" s="122"/>
      <c r="C865" s="122"/>
      <c r="D865" s="123"/>
      <c r="E865" s="123"/>
      <c r="F865" s="122"/>
      <c r="G865" s="122"/>
      <c r="H865" s="124"/>
      <c r="I865" s="122"/>
      <c r="J865" s="122"/>
      <c r="K865" s="122"/>
      <c r="L865" s="125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6"/>
      <c r="AE865" s="122"/>
      <c r="AF865" s="126"/>
      <c r="AG865" s="122"/>
      <c r="AH865" s="126"/>
      <c r="AI865" s="122"/>
      <c r="AJ865" s="32"/>
      <c r="AK865" s="122"/>
      <c r="AL865" s="32"/>
      <c r="AM865" s="122"/>
      <c r="AN865" s="122"/>
      <c r="AO865" s="12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</row>
    <row r="866" spans="1:52" ht="15.75" customHeight="1">
      <c r="A866" s="122"/>
      <c r="B866" s="122"/>
      <c r="C866" s="122"/>
      <c r="D866" s="123"/>
      <c r="E866" s="123"/>
      <c r="F866" s="122"/>
      <c r="G866" s="122"/>
      <c r="H866" s="124"/>
      <c r="I866" s="122"/>
      <c r="J866" s="122"/>
      <c r="K866" s="122"/>
      <c r="L866" s="125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6"/>
      <c r="AE866" s="122"/>
      <c r="AF866" s="126"/>
      <c r="AG866" s="122"/>
      <c r="AH866" s="126"/>
      <c r="AI866" s="122"/>
      <c r="AJ866" s="32"/>
      <c r="AK866" s="122"/>
      <c r="AL866" s="32"/>
      <c r="AM866" s="122"/>
      <c r="AN866" s="122"/>
      <c r="AO866" s="12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</row>
    <row r="867" spans="1:52" ht="15.75" customHeight="1">
      <c r="A867" s="122"/>
      <c r="B867" s="122"/>
      <c r="C867" s="122"/>
      <c r="D867" s="123"/>
      <c r="E867" s="123"/>
      <c r="F867" s="122"/>
      <c r="G867" s="122"/>
      <c r="H867" s="124"/>
      <c r="I867" s="122"/>
      <c r="J867" s="122"/>
      <c r="K867" s="122"/>
      <c r="L867" s="125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6"/>
      <c r="AE867" s="122"/>
      <c r="AF867" s="126"/>
      <c r="AG867" s="122"/>
      <c r="AH867" s="126"/>
      <c r="AI867" s="122"/>
      <c r="AJ867" s="32"/>
      <c r="AK867" s="122"/>
      <c r="AL867" s="32"/>
      <c r="AM867" s="122"/>
      <c r="AN867" s="122"/>
      <c r="AO867" s="12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</row>
    <row r="868" spans="1:52" ht="15.75" customHeight="1">
      <c r="A868" s="122"/>
      <c r="B868" s="122"/>
      <c r="C868" s="122"/>
      <c r="D868" s="123"/>
      <c r="E868" s="123"/>
      <c r="F868" s="122"/>
      <c r="G868" s="122"/>
      <c r="H868" s="124"/>
      <c r="I868" s="122"/>
      <c r="J868" s="122"/>
      <c r="K868" s="122"/>
      <c r="L868" s="125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6"/>
      <c r="AE868" s="122"/>
      <c r="AF868" s="126"/>
      <c r="AG868" s="122"/>
      <c r="AH868" s="126"/>
      <c r="AI868" s="122"/>
      <c r="AJ868" s="32"/>
      <c r="AK868" s="122"/>
      <c r="AL868" s="32"/>
      <c r="AM868" s="122"/>
      <c r="AN868" s="122"/>
      <c r="AO868" s="12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</row>
    <row r="869" spans="1:52" ht="15.75" customHeight="1">
      <c r="A869" s="122"/>
      <c r="B869" s="122"/>
      <c r="C869" s="122"/>
      <c r="D869" s="123"/>
      <c r="E869" s="123"/>
      <c r="F869" s="122"/>
      <c r="G869" s="122"/>
      <c r="H869" s="124"/>
      <c r="I869" s="122"/>
      <c r="J869" s="122"/>
      <c r="K869" s="122"/>
      <c r="L869" s="125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6"/>
      <c r="AE869" s="122"/>
      <c r="AF869" s="126"/>
      <c r="AG869" s="122"/>
      <c r="AH869" s="126"/>
      <c r="AI869" s="122"/>
      <c r="AJ869" s="32"/>
      <c r="AK869" s="122"/>
      <c r="AL869" s="32"/>
      <c r="AM869" s="122"/>
      <c r="AN869" s="122"/>
      <c r="AO869" s="12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</row>
    <row r="870" spans="1:52" ht="15.75" customHeight="1">
      <c r="A870" s="122"/>
      <c r="B870" s="122"/>
      <c r="C870" s="122"/>
      <c r="D870" s="123"/>
      <c r="E870" s="123"/>
      <c r="F870" s="122"/>
      <c r="G870" s="122"/>
      <c r="H870" s="124"/>
      <c r="I870" s="122"/>
      <c r="J870" s="122"/>
      <c r="K870" s="122"/>
      <c r="L870" s="125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6"/>
      <c r="AE870" s="122"/>
      <c r="AF870" s="126"/>
      <c r="AG870" s="122"/>
      <c r="AH870" s="126"/>
      <c r="AI870" s="122"/>
      <c r="AJ870" s="32"/>
      <c r="AK870" s="122"/>
      <c r="AL870" s="32"/>
      <c r="AM870" s="122"/>
      <c r="AN870" s="122"/>
      <c r="AO870" s="12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</row>
    <row r="871" spans="1:52" ht="15.75" customHeight="1">
      <c r="A871" s="122"/>
      <c r="B871" s="122"/>
      <c r="C871" s="122"/>
      <c r="D871" s="123"/>
      <c r="E871" s="123"/>
      <c r="F871" s="122"/>
      <c r="G871" s="122"/>
      <c r="H871" s="124"/>
      <c r="I871" s="122"/>
      <c r="J871" s="122"/>
      <c r="K871" s="122"/>
      <c r="L871" s="125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6"/>
      <c r="AE871" s="122"/>
      <c r="AF871" s="126"/>
      <c r="AG871" s="122"/>
      <c r="AH871" s="126"/>
      <c r="AI871" s="122"/>
      <c r="AJ871" s="32"/>
      <c r="AK871" s="122"/>
      <c r="AL871" s="32"/>
      <c r="AM871" s="122"/>
      <c r="AN871" s="122"/>
      <c r="AO871" s="12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</row>
    <row r="872" spans="1:52" ht="15.75" customHeight="1">
      <c r="A872" s="122"/>
      <c r="B872" s="122"/>
      <c r="C872" s="122"/>
      <c r="D872" s="123"/>
      <c r="E872" s="123"/>
      <c r="F872" s="122"/>
      <c r="G872" s="122"/>
      <c r="H872" s="124"/>
      <c r="I872" s="122"/>
      <c r="J872" s="122"/>
      <c r="K872" s="122"/>
      <c r="L872" s="125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6"/>
      <c r="AE872" s="122"/>
      <c r="AF872" s="126"/>
      <c r="AG872" s="122"/>
      <c r="AH872" s="126"/>
      <c r="AI872" s="122"/>
      <c r="AJ872" s="32"/>
      <c r="AK872" s="122"/>
      <c r="AL872" s="32"/>
      <c r="AM872" s="122"/>
      <c r="AN872" s="122"/>
      <c r="AO872" s="12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</row>
    <row r="873" spans="1:52" ht="15.75" customHeight="1">
      <c r="A873" s="122"/>
      <c r="B873" s="122"/>
      <c r="C873" s="122"/>
      <c r="D873" s="123"/>
      <c r="E873" s="123"/>
      <c r="F873" s="122"/>
      <c r="G873" s="122"/>
      <c r="H873" s="124"/>
      <c r="I873" s="122"/>
      <c r="J873" s="122"/>
      <c r="K873" s="122"/>
      <c r="L873" s="125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6"/>
      <c r="AE873" s="122"/>
      <c r="AF873" s="126"/>
      <c r="AG873" s="122"/>
      <c r="AH873" s="126"/>
      <c r="AI873" s="122"/>
      <c r="AJ873" s="32"/>
      <c r="AK873" s="122"/>
      <c r="AL873" s="32"/>
      <c r="AM873" s="122"/>
      <c r="AN873" s="122"/>
      <c r="AO873" s="12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</row>
    <row r="874" spans="1:52" ht="15.75" customHeight="1">
      <c r="A874" s="122"/>
      <c r="B874" s="122"/>
      <c r="C874" s="122"/>
      <c r="D874" s="123"/>
      <c r="E874" s="123"/>
      <c r="F874" s="122"/>
      <c r="G874" s="122"/>
      <c r="H874" s="124"/>
      <c r="I874" s="122"/>
      <c r="J874" s="122"/>
      <c r="K874" s="122"/>
      <c r="L874" s="125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6"/>
      <c r="AE874" s="122"/>
      <c r="AF874" s="126"/>
      <c r="AG874" s="122"/>
      <c r="AH874" s="126"/>
      <c r="AI874" s="122"/>
      <c r="AJ874" s="32"/>
      <c r="AK874" s="122"/>
      <c r="AL874" s="32"/>
      <c r="AM874" s="122"/>
      <c r="AN874" s="122"/>
      <c r="AO874" s="122"/>
      <c r="AP874" s="32"/>
      <c r="AQ874" s="32"/>
      <c r="AR874" s="32"/>
      <c r="AS874" s="32"/>
      <c r="AT874" s="32"/>
      <c r="AU874" s="32"/>
      <c r="AV874" s="32"/>
      <c r="AW874" s="32"/>
      <c r="AX874" s="32"/>
      <c r="AY874" s="32"/>
      <c r="AZ874" s="32"/>
    </row>
    <row r="875" spans="1:52" ht="15.75" customHeight="1">
      <c r="A875" s="122"/>
      <c r="B875" s="122"/>
      <c r="C875" s="122"/>
      <c r="D875" s="123"/>
      <c r="E875" s="123"/>
      <c r="F875" s="122"/>
      <c r="G875" s="122"/>
      <c r="H875" s="124"/>
      <c r="I875" s="122"/>
      <c r="J875" s="122"/>
      <c r="K875" s="122"/>
      <c r="L875" s="125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6"/>
      <c r="AE875" s="122"/>
      <c r="AF875" s="126"/>
      <c r="AG875" s="122"/>
      <c r="AH875" s="126"/>
      <c r="AI875" s="122"/>
      <c r="AJ875" s="32"/>
      <c r="AK875" s="122"/>
      <c r="AL875" s="32"/>
      <c r="AM875" s="122"/>
      <c r="AN875" s="122"/>
      <c r="AO875" s="122"/>
      <c r="AP875" s="32"/>
      <c r="AQ875" s="32"/>
      <c r="AR875" s="32"/>
      <c r="AS875" s="32"/>
      <c r="AT875" s="32"/>
      <c r="AU875" s="32"/>
      <c r="AV875" s="32"/>
      <c r="AW875" s="32"/>
      <c r="AX875" s="32"/>
      <c r="AY875" s="32"/>
      <c r="AZ875" s="32"/>
    </row>
    <row r="876" spans="1:52" ht="15.75" customHeight="1">
      <c r="A876" s="122"/>
      <c r="B876" s="122"/>
      <c r="C876" s="122"/>
      <c r="D876" s="123"/>
      <c r="E876" s="123"/>
      <c r="F876" s="122"/>
      <c r="G876" s="122"/>
      <c r="H876" s="124"/>
      <c r="I876" s="122"/>
      <c r="J876" s="122"/>
      <c r="K876" s="122"/>
      <c r="L876" s="125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6"/>
      <c r="AE876" s="122"/>
      <c r="AF876" s="126"/>
      <c r="AG876" s="122"/>
      <c r="AH876" s="126"/>
      <c r="AI876" s="122"/>
      <c r="AJ876" s="32"/>
      <c r="AK876" s="122"/>
      <c r="AL876" s="32"/>
      <c r="AM876" s="122"/>
      <c r="AN876" s="122"/>
      <c r="AO876" s="12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</row>
    <row r="877" spans="1:52" ht="15.75" customHeight="1">
      <c r="A877" s="122"/>
      <c r="B877" s="122"/>
      <c r="C877" s="122"/>
      <c r="D877" s="123"/>
      <c r="E877" s="123"/>
      <c r="F877" s="122"/>
      <c r="G877" s="122"/>
      <c r="H877" s="124"/>
      <c r="I877" s="122"/>
      <c r="J877" s="122"/>
      <c r="K877" s="122"/>
      <c r="L877" s="125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6"/>
      <c r="AE877" s="122"/>
      <c r="AF877" s="126"/>
      <c r="AG877" s="122"/>
      <c r="AH877" s="126"/>
      <c r="AI877" s="122"/>
      <c r="AJ877" s="32"/>
      <c r="AK877" s="122"/>
      <c r="AL877" s="32"/>
      <c r="AM877" s="122"/>
      <c r="AN877" s="122"/>
      <c r="AO877" s="12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</row>
    <row r="878" spans="1:52" ht="15.75" customHeight="1">
      <c r="A878" s="122"/>
      <c r="B878" s="122"/>
      <c r="C878" s="122"/>
      <c r="D878" s="123"/>
      <c r="E878" s="123"/>
      <c r="F878" s="122"/>
      <c r="G878" s="122"/>
      <c r="H878" s="124"/>
      <c r="I878" s="122"/>
      <c r="J878" s="122"/>
      <c r="K878" s="122"/>
      <c r="L878" s="125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6"/>
      <c r="AE878" s="122"/>
      <c r="AF878" s="126"/>
      <c r="AG878" s="122"/>
      <c r="AH878" s="126"/>
      <c r="AI878" s="122"/>
      <c r="AJ878" s="32"/>
      <c r="AK878" s="122"/>
      <c r="AL878" s="32"/>
      <c r="AM878" s="122"/>
      <c r="AN878" s="122"/>
      <c r="AO878" s="12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</row>
    <row r="879" spans="1:52" ht="15.75" customHeight="1">
      <c r="A879" s="122"/>
      <c r="B879" s="122"/>
      <c r="C879" s="122"/>
      <c r="D879" s="123"/>
      <c r="E879" s="123"/>
      <c r="F879" s="122"/>
      <c r="G879" s="122"/>
      <c r="H879" s="124"/>
      <c r="I879" s="122"/>
      <c r="J879" s="122"/>
      <c r="K879" s="122"/>
      <c r="L879" s="125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6"/>
      <c r="AE879" s="122"/>
      <c r="AF879" s="126"/>
      <c r="AG879" s="122"/>
      <c r="AH879" s="126"/>
      <c r="AI879" s="122"/>
      <c r="AJ879" s="32"/>
      <c r="AK879" s="122"/>
      <c r="AL879" s="32"/>
      <c r="AM879" s="122"/>
      <c r="AN879" s="122"/>
      <c r="AO879" s="12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</row>
    <row r="880" spans="1:52" ht="15.75" customHeight="1">
      <c r="A880" s="122"/>
      <c r="B880" s="122"/>
      <c r="C880" s="122"/>
      <c r="D880" s="123"/>
      <c r="E880" s="123"/>
      <c r="F880" s="122"/>
      <c r="G880" s="122"/>
      <c r="H880" s="124"/>
      <c r="I880" s="122"/>
      <c r="J880" s="122"/>
      <c r="K880" s="122"/>
      <c r="L880" s="125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6"/>
      <c r="AE880" s="122"/>
      <c r="AF880" s="126"/>
      <c r="AG880" s="122"/>
      <c r="AH880" s="126"/>
      <c r="AI880" s="122"/>
      <c r="AJ880" s="32"/>
      <c r="AK880" s="122"/>
      <c r="AL880" s="32"/>
      <c r="AM880" s="122"/>
      <c r="AN880" s="122"/>
      <c r="AO880" s="12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</row>
    <row r="881" spans="1:52" ht="15.75" customHeight="1">
      <c r="A881" s="122"/>
      <c r="B881" s="122"/>
      <c r="C881" s="122"/>
      <c r="D881" s="123"/>
      <c r="E881" s="123"/>
      <c r="F881" s="122"/>
      <c r="G881" s="122"/>
      <c r="H881" s="124"/>
      <c r="I881" s="122"/>
      <c r="J881" s="122"/>
      <c r="K881" s="122"/>
      <c r="L881" s="125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6"/>
      <c r="AE881" s="122"/>
      <c r="AF881" s="126"/>
      <c r="AG881" s="122"/>
      <c r="AH881" s="126"/>
      <c r="AI881" s="122"/>
      <c r="AJ881" s="32"/>
      <c r="AK881" s="122"/>
      <c r="AL881" s="32"/>
      <c r="AM881" s="122"/>
      <c r="AN881" s="122"/>
      <c r="AO881" s="12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</row>
    <row r="882" spans="1:52" ht="15.75" customHeight="1">
      <c r="A882" s="122"/>
      <c r="B882" s="122"/>
      <c r="C882" s="122"/>
      <c r="D882" s="123"/>
      <c r="E882" s="123"/>
      <c r="F882" s="122"/>
      <c r="G882" s="122"/>
      <c r="H882" s="124"/>
      <c r="I882" s="122"/>
      <c r="J882" s="122"/>
      <c r="K882" s="122"/>
      <c r="L882" s="125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6"/>
      <c r="AE882" s="122"/>
      <c r="AF882" s="126"/>
      <c r="AG882" s="122"/>
      <c r="AH882" s="126"/>
      <c r="AI882" s="122"/>
      <c r="AJ882" s="32"/>
      <c r="AK882" s="122"/>
      <c r="AL882" s="32"/>
      <c r="AM882" s="122"/>
      <c r="AN882" s="122"/>
      <c r="AO882" s="12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</row>
    <row r="883" spans="1:52" ht="15.75" customHeight="1">
      <c r="A883" s="122"/>
      <c r="B883" s="122"/>
      <c r="C883" s="122"/>
      <c r="D883" s="123"/>
      <c r="E883" s="123"/>
      <c r="F883" s="122"/>
      <c r="G883" s="122"/>
      <c r="H883" s="124"/>
      <c r="I883" s="122"/>
      <c r="J883" s="122"/>
      <c r="K883" s="122"/>
      <c r="L883" s="125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6"/>
      <c r="AE883" s="122"/>
      <c r="AF883" s="126"/>
      <c r="AG883" s="122"/>
      <c r="AH883" s="126"/>
      <c r="AI883" s="122"/>
      <c r="AJ883" s="32"/>
      <c r="AK883" s="122"/>
      <c r="AL883" s="32"/>
      <c r="AM883" s="122"/>
      <c r="AN883" s="122"/>
      <c r="AO883" s="12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</row>
    <row r="884" spans="1:52" ht="15.75" customHeight="1">
      <c r="A884" s="122"/>
      <c r="B884" s="122"/>
      <c r="C884" s="122"/>
      <c r="D884" s="123"/>
      <c r="E884" s="123"/>
      <c r="F884" s="122"/>
      <c r="G884" s="122"/>
      <c r="H884" s="124"/>
      <c r="I884" s="122"/>
      <c r="J884" s="122"/>
      <c r="K884" s="122"/>
      <c r="L884" s="125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6"/>
      <c r="AE884" s="122"/>
      <c r="AF884" s="126"/>
      <c r="AG884" s="122"/>
      <c r="AH884" s="126"/>
      <c r="AI884" s="122"/>
      <c r="AJ884" s="32"/>
      <c r="AK884" s="122"/>
      <c r="AL884" s="32"/>
      <c r="AM884" s="122"/>
      <c r="AN884" s="122"/>
      <c r="AO884" s="12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</row>
    <row r="885" spans="1:52" ht="15.75" customHeight="1">
      <c r="A885" s="122"/>
      <c r="B885" s="122"/>
      <c r="C885" s="122"/>
      <c r="D885" s="123"/>
      <c r="E885" s="123"/>
      <c r="F885" s="122"/>
      <c r="G885" s="122"/>
      <c r="H885" s="124"/>
      <c r="I885" s="122"/>
      <c r="J885" s="122"/>
      <c r="K885" s="122"/>
      <c r="L885" s="125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6"/>
      <c r="AE885" s="122"/>
      <c r="AF885" s="126"/>
      <c r="AG885" s="122"/>
      <c r="AH885" s="126"/>
      <c r="AI885" s="122"/>
      <c r="AJ885" s="32"/>
      <c r="AK885" s="122"/>
      <c r="AL885" s="32"/>
      <c r="AM885" s="122"/>
      <c r="AN885" s="122"/>
      <c r="AO885" s="12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</row>
    <row r="886" spans="1:52" ht="15.75" customHeight="1">
      <c r="A886" s="122"/>
      <c r="B886" s="122"/>
      <c r="C886" s="122"/>
      <c r="D886" s="123"/>
      <c r="E886" s="123"/>
      <c r="F886" s="122"/>
      <c r="G886" s="122"/>
      <c r="H886" s="124"/>
      <c r="I886" s="122"/>
      <c r="J886" s="122"/>
      <c r="K886" s="122"/>
      <c r="L886" s="125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6"/>
      <c r="AE886" s="122"/>
      <c r="AF886" s="126"/>
      <c r="AG886" s="122"/>
      <c r="AH886" s="126"/>
      <c r="AI886" s="122"/>
      <c r="AJ886" s="32"/>
      <c r="AK886" s="122"/>
      <c r="AL886" s="32"/>
      <c r="AM886" s="122"/>
      <c r="AN886" s="122"/>
      <c r="AO886" s="12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</row>
    <row r="887" spans="1:52" ht="15.75" customHeight="1">
      <c r="A887" s="122"/>
      <c r="B887" s="122"/>
      <c r="C887" s="122"/>
      <c r="D887" s="123"/>
      <c r="E887" s="123"/>
      <c r="F887" s="122"/>
      <c r="G887" s="122"/>
      <c r="H887" s="124"/>
      <c r="I887" s="122"/>
      <c r="J887" s="122"/>
      <c r="K887" s="122"/>
      <c r="L887" s="125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6"/>
      <c r="AE887" s="122"/>
      <c r="AF887" s="126"/>
      <c r="AG887" s="122"/>
      <c r="AH887" s="126"/>
      <c r="AI887" s="122"/>
      <c r="AJ887" s="32"/>
      <c r="AK887" s="122"/>
      <c r="AL887" s="32"/>
      <c r="AM887" s="122"/>
      <c r="AN887" s="122"/>
      <c r="AO887" s="12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</row>
    <row r="888" spans="1:52" ht="15.75" customHeight="1">
      <c r="A888" s="122"/>
      <c r="B888" s="122"/>
      <c r="C888" s="122"/>
      <c r="D888" s="123"/>
      <c r="E888" s="123"/>
      <c r="F888" s="122"/>
      <c r="G888" s="122"/>
      <c r="H888" s="124"/>
      <c r="I888" s="122"/>
      <c r="J888" s="122"/>
      <c r="K888" s="122"/>
      <c r="L888" s="125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6"/>
      <c r="AE888" s="122"/>
      <c r="AF888" s="126"/>
      <c r="AG888" s="122"/>
      <c r="AH888" s="126"/>
      <c r="AI888" s="122"/>
      <c r="AJ888" s="32"/>
      <c r="AK888" s="122"/>
      <c r="AL888" s="32"/>
      <c r="AM888" s="122"/>
      <c r="AN888" s="122"/>
      <c r="AO888" s="12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</row>
    <row r="889" spans="1:52" ht="15.75" customHeight="1">
      <c r="A889" s="122"/>
      <c r="B889" s="122"/>
      <c r="C889" s="122"/>
      <c r="D889" s="123"/>
      <c r="E889" s="123"/>
      <c r="F889" s="122"/>
      <c r="G889" s="122"/>
      <c r="H889" s="124"/>
      <c r="I889" s="122"/>
      <c r="J889" s="122"/>
      <c r="K889" s="122"/>
      <c r="L889" s="125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6"/>
      <c r="AE889" s="122"/>
      <c r="AF889" s="126"/>
      <c r="AG889" s="122"/>
      <c r="AH889" s="126"/>
      <c r="AI889" s="122"/>
      <c r="AJ889" s="32"/>
      <c r="AK889" s="122"/>
      <c r="AL889" s="32"/>
      <c r="AM889" s="122"/>
      <c r="AN889" s="122"/>
      <c r="AO889" s="12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</row>
    <row r="890" spans="1:52" ht="15.75" customHeight="1">
      <c r="A890" s="122"/>
      <c r="B890" s="122"/>
      <c r="C890" s="122"/>
      <c r="D890" s="123"/>
      <c r="E890" s="123"/>
      <c r="F890" s="122"/>
      <c r="G890" s="122"/>
      <c r="H890" s="124"/>
      <c r="I890" s="122"/>
      <c r="J890" s="122"/>
      <c r="K890" s="122"/>
      <c r="L890" s="125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6"/>
      <c r="AE890" s="122"/>
      <c r="AF890" s="126"/>
      <c r="AG890" s="122"/>
      <c r="AH890" s="126"/>
      <c r="AI890" s="122"/>
      <c r="AJ890" s="32"/>
      <c r="AK890" s="122"/>
      <c r="AL890" s="32"/>
      <c r="AM890" s="122"/>
      <c r="AN890" s="122"/>
      <c r="AO890" s="12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</row>
    <row r="891" spans="1:52" ht="15.75" customHeight="1">
      <c r="A891" s="122"/>
      <c r="B891" s="122"/>
      <c r="C891" s="122"/>
      <c r="D891" s="123"/>
      <c r="E891" s="123"/>
      <c r="F891" s="122"/>
      <c r="G891" s="122"/>
      <c r="H891" s="124"/>
      <c r="I891" s="122"/>
      <c r="J891" s="122"/>
      <c r="K891" s="122"/>
      <c r="L891" s="125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6"/>
      <c r="AE891" s="122"/>
      <c r="AF891" s="126"/>
      <c r="AG891" s="122"/>
      <c r="AH891" s="126"/>
      <c r="AI891" s="122"/>
      <c r="AJ891" s="32"/>
      <c r="AK891" s="122"/>
      <c r="AL891" s="32"/>
      <c r="AM891" s="122"/>
      <c r="AN891" s="122"/>
      <c r="AO891" s="12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</row>
    <row r="892" spans="1:52" ht="15.75" customHeight="1">
      <c r="A892" s="122"/>
      <c r="B892" s="122"/>
      <c r="C892" s="122"/>
      <c r="D892" s="123"/>
      <c r="E892" s="123"/>
      <c r="F892" s="122"/>
      <c r="G892" s="122"/>
      <c r="H892" s="124"/>
      <c r="I892" s="122"/>
      <c r="J892" s="122"/>
      <c r="K892" s="122"/>
      <c r="L892" s="125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6"/>
      <c r="AE892" s="122"/>
      <c r="AF892" s="126"/>
      <c r="AG892" s="122"/>
      <c r="AH892" s="126"/>
      <c r="AI892" s="122"/>
      <c r="AJ892" s="32"/>
      <c r="AK892" s="122"/>
      <c r="AL892" s="32"/>
      <c r="AM892" s="122"/>
      <c r="AN892" s="122"/>
      <c r="AO892" s="12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</row>
    <row r="893" spans="1:52" ht="15.75" customHeight="1">
      <c r="A893" s="122"/>
      <c r="B893" s="122"/>
      <c r="C893" s="122"/>
      <c r="D893" s="123"/>
      <c r="E893" s="123"/>
      <c r="F893" s="122"/>
      <c r="G893" s="122"/>
      <c r="H893" s="124"/>
      <c r="I893" s="122"/>
      <c r="J893" s="122"/>
      <c r="K893" s="122"/>
      <c r="L893" s="125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6"/>
      <c r="AE893" s="122"/>
      <c r="AF893" s="126"/>
      <c r="AG893" s="122"/>
      <c r="AH893" s="126"/>
      <c r="AI893" s="122"/>
      <c r="AJ893" s="32"/>
      <c r="AK893" s="122"/>
      <c r="AL893" s="32"/>
      <c r="AM893" s="122"/>
      <c r="AN893" s="122"/>
      <c r="AO893" s="12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</row>
    <row r="894" spans="1:52" ht="15.75" customHeight="1">
      <c r="A894" s="122"/>
      <c r="B894" s="122"/>
      <c r="C894" s="122"/>
      <c r="D894" s="123"/>
      <c r="E894" s="123"/>
      <c r="F894" s="122"/>
      <c r="G894" s="122"/>
      <c r="H894" s="124"/>
      <c r="I894" s="122"/>
      <c r="J894" s="122"/>
      <c r="K894" s="122"/>
      <c r="L894" s="125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6"/>
      <c r="AE894" s="122"/>
      <c r="AF894" s="126"/>
      <c r="AG894" s="122"/>
      <c r="AH894" s="126"/>
      <c r="AI894" s="122"/>
      <c r="AJ894" s="32"/>
      <c r="AK894" s="122"/>
      <c r="AL894" s="32"/>
      <c r="AM894" s="122"/>
      <c r="AN894" s="122"/>
      <c r="AO894" s="12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</row>
    <row r="895" spans="1:52" ht="15.75" customHeight="1">
      <c r="A895" s="122"/>
      <c r="B895" s="122"/>
      <c r="C895" s="122"/>
      <c r="D895" s="123"/>
      <c r="E895" s="123"/>
      <c r="F895" s="122"/>
      <c r="G895" s="122"/>
      <c r="H895" s="124"/>
      <c r="I895" s="122"/>
      <c r="J895" s="122"/>
      <c r="K895" s="122"/>
      <c r="L895" s="125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6"/>
      <c r="AE895" s="122"/>
      <c r="AF895" s="126"/>
      <c r="AG895" s="122"/>
      <c r="AH895" s="126"/>
      <c r="AI895" s="122"/>
      <c r="AJ895" s="32"/>
      <c r="AK895" s="122"/>
      <c r="AL895" s="32"/>
      <c r="AM895" s="122"/>
      <c r="AN895" s="122"/>
      <c r="AO895" s="12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</row>
    <row r="896" spans="1:52" ht="15.75" customHeight="1">
      <c r="A896" s="122"/>
      <c r="B896" s="122"/>
      <c r="C896" s="122"/>
      <c r="D896" s="123"/>
      <c r="E896" s="123"/>
      <c r="F896" s="122"/>
      <c r="G896" s="122"/>
      <c r="H896" s="124"/>
      <c r="I896" s="122"/>
      <c r="J896" s="122"/>
      <c r="K896" s="122"/>
      <c r="L896" s="125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6"/>
      <c r="AE896" s="122"/>
      <c r="AF896" s="126"/>
      <c r="AG896" s="122"/>
      <c r="AH896" s="126"/>
      <c r="AI896" s="122"/>
      <c r="AJ896" s="32"/>
      <c r="AK896" s="122"/>
      <c r="AL896" s="32"/>
      <c r="AM896" s="122"/>
      <c r="AN896" s="122"/>
      <c r="AO896" s="12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</row>
    <row r="897" spans="1:52" ht="15.75" customHeight="1">
      <c r="A897" s="122"/>
      <c r="B897" s="122"/>
      <c r="C897" s="122"/>
      <c r="D897" s="123"/>
      <c r="E897" s="123"/>
      <c r="F897" s="122"/>
      <c r="G897" s="122"/>
      <c r="H897" s="124"/>
      <c r="I897" s="122"/>
      <c r="J897" s="122"/>
      <c r="K897" s="122"/>
      <c r="L897" s="125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6"/>
      <c r="AE897" s="122"/>
      <c r="AF897" s="126"/>
      <c r="AG897" s="122"/>
      <c r="AH897" s="126"/>
      <c r="AI897" s="122"/>
      <c r="AJ897" s="32"/>
      <c r="AK897" s="122"/>
      <c r="AL897" s="32"/>
      <c r="AM897" s="122"/>
      <c r="AN897" s="122"/>
      <c r="AO897" s="12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</row>
    <row r="898" spans="1:52" ht="15.75" customHeight="1">
      <c r="A898" s="122"/>
      <c r="B898" s="122"/>
      <c r="C898" s="122"/>
      <c r="D898" s="123"/>
      <c r="E898" s="123"/>
      <c r="F898" s="122"/>
      <c r="G898" s="122"/>
      <c r="H898" s="124"/>
      <c r="I898" s="122"/>
      <c r="J898" s="122"/>
      <c r="K898" s="122"/>
      <c r="L898" s="125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6"/>
      <c r="AE898" s="122"/>
      <c r="AF898" s="126"/>
      <c r="AG898" s="122"/>
      <c r="AH898" s="126"/>
      <c r="AI898" s="122"/>
      <c r="AJ898" s="32"/>
      <c r="AK898" s="122"/>
      <c r="AL898" s="32"/>
      <c r="AM898" s="122"/>
      <c r="AN898" s="122"/>
      <c r="AO898" s="12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</row>
    <row r="899" spans="1:52" ht="15.75" customHeight="1">
      <c r="A899" s="122"/>
      <c r="B899" s="122"/>
      <c r="C899" s="122"/>
      <c r="D899" s="123"/>
      <c r="E899" s="123"/>
      <c r="F899" s="122"/>
      <c r="G899" s="122"/>
      <c r="H899" s="124"/>
      <c r="I899" s="122"/>
      <c r="J899" s="122"/>
      <c r="K899" s="122"/>
      <c r="L899" s="125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6"/>
      <c r="AE899" s="122"/>
      <c r="AF899" s="126"/>
      <c r="AG899" s="122"/>
      <c r="AH899" s="126"/>
      <c r="AI899" s="122"/>
      <c r="AJ899" s="32"/>
      <c r="AK899" s="122"/>
      <c r="AL899" s="32"/>
      <c r="AM899" s="122"/>
      <c r="AN899" s="122"/>
      <c r="AO899" s="12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</row>
  </sheetData>
  <autoFilter ref="A2:AO34">
    <sortState ref="A3:AO135">
      <sortCondition ref="H2:H34"/>
    </sortState>
  </autoFilter>
  <sortState ref="A3:AO135">
    <sortCondition ref="H3:H135"/>
  </sortState>
  <phoneticPr fontId="28" type="noConversion"/>
  <conditionalFormatting sqref="B1:B899">
    <cfRule type="notContainsBlanks" dxfId="0" priority="1">
      <formula>LEN(TRIM(B1))&gt;0</formula>
    </cfRule>
  </conditionalFormatting>
  <hyperlinks>
    <hyperlink ref="AL44" r:id="rId1"/>
    <hyperlink ref="AL51" r:id="rId2"/>
    <hyperlink ref="AL43" r:id="rId3"/>
    <hyperlink ref="AL79" r:id="rId4"/>
    <hyperlink ref="AL52" r:id="rId5"/>
    <hyperlink ref="AL53" r:id="rId6"/>
    <hyperlink ref="AL47" r:id="rId7"/>
    <hyperlink ref="AL54" r:id="rId8"/>
    <hyperlink ref="AL55" r:id="rId9"/>
    <hyperlink ref="AL95" r:id="rId10"/>
    <hyperlink ref="AL30" r:id="rId11"/>
    <hyperlink ref="AL96" r:id="rId12"/>
    <hyperlink ref="AL56" r:id="rId13"/>
    <hyperlink ref="AL128" r:id="rId14"/>
    <hyperlink ref="AL90" r:id="rId15"/>
    <hyperlink ref="AL81" r:id="rId16"/>
    <hyperlink ref="AL114" r:id="rId17"/>
    <hyperlink ref="AL57" r:id="rId18"/>
    <hyperlink ref="AL68" r:id="rId19"/>
    <hyperlink ref="AL82" r:id="rId20"/>
    <hyperlink ref="AL58" r:id="rId21"/>
    <hyperlink ref="AL83" r:id="rId22"/>
    <hyperlink ref="AL59" r:id="rId23"/>
    <hyperlink ref="AL60" r:id="rId24"/>
    <hyperlink ref="AL115" r:id="rId25"/>
    <hyperlink ref="AL69" r:id="rId26"/>
    <hyperlink ref="AL61" r:id="rId27"/>
    <hyperlink ref="AL116" r:id="rId28"/>
    <hyperlink ref="AL17" r:id="rId29"/>
    <hyperlink ref="AL97" r:id="rId30"/>
    <hyperlink ref="AL98" r:id="rId31"/>
    <hyperlink ref="AL13" r:id="rId32"/>
    <hyperlink ref="AL110" r:id="rId33"/>
    <hyperlink ref="AL31" r:id="rId34"/>
    <hyperlink ref="AL27" r:id="rId35"/>
    <hyperlink ref="AL62" r:id="rId36"/>
    <hyperlink ref="AL117" r:id="rId37"/>
    <hyperlink ref="AL12" r:id="rId38"/>
    <hyperlink ref="AL84" r:id="rId39"/>
    <hyperlink ref="AL18" r:id="rId40"/>
    <hyperlink ref="AL28" r:id="rId41"/>
    <hyperlink ref="AL99" r:id="rId42"/>
    <hyperlink ref="AL32" r:id="rId43"/>
    <hyperlink ref="AL14" r:id="rId44"/>
    <hyperlink ref="AL111" r:id="rId45"/>
    <hyperlink ref="AL118" r:id="rId46"/>
    <hyperlink ref="AL100" r:id="rId47"/>
    <hyperlink ref="AL39" r:id="rId48"/>
    <hyperlink ref="AL15" r:id="rId49"/>
    <hyperlink ref="AL63" r:id="rId50"/>
    <hyperlink ref="AL70" r:id="rId51"/>
    <hyperlink ref="AL119" r:id="rId52"/>
    <hyperlink ref="AL120" r:id="rId53"/>
    <hyperlink ref="AL33" r:id="rId54"/>
    <hyperlink ref="AL109" r:id="rId55"/>
    <hyperlink ref="AL29" r:id="rId56"/>
    <hyperlink ref="AL71" r:id="rId57"/>
    <hyperlink ref="AL101" r:id="rId58"/>
    <hyperlink ref="AL64" r:id="rId59"/>
    <hyperlink ref="AL112" r:id="rId60"/>
    <hyperlink ref="AL85" r:id="rId61"/>
    <hyperlink ref="AL65" r:id="rId62"/>
    <hyperlink ref="AL121" r:id="rId63"/>
    <hyperlink ref="AL48" r:id="rId64"/>
    <hyperlink ref="AL41" r:id="rId65"/>
    <hyperlink ref="AL66" r:id="rId66"/>
    <hyperlink ref="AL34" r:id="rId67"/>
    <hyperlink ref="AL122" r:id="rId68"/>
    <hyperlink ref="AL123" r:id="rId69"/>
    <hyperlink ref="AL124" r:id="rId70"/>
    <hyperlink ref="AL86" r:id="rId71"/>
    <hyperlink ref="AL67" r:id="rId72"/>
  </hyperlinks>
  <pageMargins left="0.74803149606299213" right="0.74803149606299213" top="0.98425196850393704" bottom="0.98425196850393704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9"/>
  <sheetViews>
    <sheetView workbookViewId="0">
      <selection activeCell="D21" sqref="D21"/>
    </sheetView>
  </sheetViews>
  <sheetFormatPr defaultRowHeight="15"/>
  <cols>
    <col min="4" max="4" width="109.5703125" customWidth="1"/>
  </cols>
  <sheetData>
    <row r="3" spans="3:5" ht="120">
      <c r="C3" s="161" t="s">
        <v>4124</v>
      </c>
      <c r="D3" s="155" t="s">
        <v>4112</v>
      </c>
    </row>
    <row r="5" spans="3:5">
      <c r="D5" s="156" t="s">
        <v>4113</v>
      </c>
    </row>
    <row r="6" spans="3:5">
      <c r="D6" s="156" t="s">
        <v>4114</v>
      </c>
    </row>
    <row r="8" spans="3:5">
      <c r="D8" s="156" t="s">
        <v>4115</v>
      </c>
    </row>
    <row r="9" spans="3:5">
      <c r="C9" s="161" t="s">
        <v>4123</v>
      </c>
      <c r="D9" s="158" t="s">
        <v>4116</v>
      </c>
    </row>
    <row r="10" spans="3:5">
      <c r="D10" s="156" t="s">
        <v>4117</v>
      </c>
    </row>
    <row r="11" spans="3:5" ht="15.75" thickBot="1">
      <c r="D11" s="157"/>
    </row>
    <row r="12" spans="3:5" ht="15.75" thickBot="1">
      <c r="D12" s="159" t="s">
        <v>4118</v>
      </c>
    </row>
    <row r="13" spans="3:5" ht="15.75" thickBot="1">
      <c r="D13" s="160" t="s">
        <v>2667</v>
      </c>
    </row>
    <row r="14" spans="3:5" ht="15.75" thickBot="1">
      <c r="D14" s="160" t="s">
        <v>172</v>
      </c>
    </row>
    <row r="15" spans="3:5" ht="15.75" thickBot="1">
      <c r="D15" s="160" t="s">
        <v>4119</v>
      </c>
      <c r="E15" s="161" t="s">
        <v>4129</v>
      </c>
    </row>
    <row r="16" spans="3:5" ht="15.75" thickBot="1">
      <c r="D16" s="160" t="s">
        <v>4120</v>
      </c>
      <c r="E16" s="161" t="s">
        <v>4128</v>
      </c>
    </row>
    <row r="17" spans="4:5" ht="15.75" thickBot="1">
      <c r="D17" s="160" t="s">
        <v>4121</v>
      </c>
      <c r="E17" s="161" t="s">
        <v>4127</v>
      </c>
    </row>
    <row r="18" spans="4:5" ht="15.75" thickBot="1">
      <c r="D18" s="160" t="s">
        <v>4122</v>
      </c>
      <c r="E18" s="161" t="s">
        <v>4126</v>
      </c>
    </row>
    <row r="19" spans="4:5" ht="15.75" thickBot="1">
      <c r="D19" s="160" t="s">
        <v>283</v>
      </c>
      <c r="E19" s="161" t="s">
        <v>4125</v>
      </c>
    </row>
  </sheetData>
  <phoneticPr fontId="28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퇴사자</vt:lpstr>
      <vt:lpstr>재직자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leewoojin</dc:creator>
  <cp:lastModifiedBy>ADMIN</cp:lastModifiedBy>
  <dcterms:created xsi:type="dcterms:W3CDTF">2012-07-12T08:13:52Z</dcterms:created>
  <dcterms:modified xsi:type="dcterms:W3CDTF">2026-04-02T12:01:10Z</dcterms:modified>
</cp:coreProperties>
</file>